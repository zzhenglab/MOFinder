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z.z\OneDrive - Washington University in St. Louis\A_Zheng Lab\A_Reasoning\14489 paper\"/>
    </mc:Choice>
  </mc:AlternateContent>
  <xr:revisionPtr revIDLastSave="0" documentId="13_ncr:1_{3736B924-FAE8-4D5C-9801-CA8B6E27B07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round truth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479" i="1" l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sharedStrings.xml><?xml version="1.0" encoding="utf-8"?>
<sst xmlns="http://schemas.openxmlformats.org/spreadsheetml/2006/main" count="5411" uniqueCount="1545">
  <si>
    <t>DOI</t>
  </si>
  <si>
    <t>Consensus GT</t>
  </si>
  <si>
    <t>Annotator 1</t>
  </si>
  <si>
    <t>Annotator 1 comment</t>
  </si>
  <si>
    <t>Annotator 2</t>
  </si>
  <si>
    <t>Annotator 2 comment</t>
  </si>
  <si>
    <t>Annotator 3</t>
  </si>
  <si>
    <t>Annotator 3 comment</t>
  </si>
  <si>
    <t>Annotator 4</t>
  </si>
  <si>
    <t>Annotator 4 comment</t>
  </si>
  <si>
    <t>Vote pattern</t>
  </si>
  <si>
    <t>Resolution method</t>
  </si>
  <si>
    <t>Rule/reason</t>
  </si>
  <si>
    <t>10.1002/adfm.202307369</t>
  </si>
  <si>
    <t>Y</t>
  </si>
  <si>
    <t>Thus, in the present work, we report a linker-directed synthe-
sis approach that enables the direct integration of two to eight
rare-earth metal elements into a single structure.</t>
  </si>
  <si>
    <t>this work demonstrates the synthesis of a multi-metallic MTV RE MOF</t>
  </si>
  <si>
    <t>MTV-MOF described</t>
  </si>
  <si>
    <t>The SI gives an explicit solvothermal synthesis using metal salts and linker in DMF/methanol/water at 95 °C for 48 h.</t>
  </si>
  <si>
    <t>unanimous (4/4)</t>
  </si>
  <si>
    <t>10.1002/adfm.202410751</t>
  </si>
  <si>
    <t>Acquiring the detailed synthetic protocols of potentially up-
scaled synthesis of each MOFs from the literature (detailed in
Schemes S1�S36, Supporting Information</t>
  </si>
  <si>
    <t>different synthetic methods of each MOFs has been analyzed in detail</t>
  </si>
  <si>
    <t>describe synthesis of well establised MOFs</t>
  </si>
  <si>
    <t>N</t>
  </si>
  <si>
    <t>The authors collect protocols from the literature and computationally scale them for LCA; they do not perform an original MOF synthesis.</t>
  </si>
  <si>
    <t>majority vote (3-1)</t>
  </si>
  <si>
    <t>Synthesis in Citation</t>
  </si>
  <si>
    <t>10.1002/adfm.202501344</t>
  </si>
  <si>
    <t>Synthesis shown in SI</t>
  </si>
  <si>
    <t>The green synthesis pathway of MOFs is shown in Figure S1 (Supporting Information)</t>
  </si>
  <si>
    <t>supporting information solvothermal</t>
  </si>
  <si>
    <t>Ni-TBAPy-EF crystals are directly synthesized in water with nickel acetate at 120 °C for 72 h and confirmed crystallographically.</t>
  </si>
  <si>
    <t>10.1002/adfm.202504117</t>
  </si>
  <si>
    <t>Zr-PTB was synthesized according to the modi-
fied procedure[41] by addition of ZrCl4 (0.108 mmol; 25.40 mg) and PTB
(0.0725 mmol; 31.86 mg) to a 20 mL screw-cap glass vial. After the addi-
tion of 12.5 mL DMF, the mixture was ultrasonically dissolved to obtain
a clear solution.</t>
  </si>
  <si>
    <t>We report the synthesis of a Zr6O8 cluster-based tricarboxylate MON</t>
  </si>
  <si>
    <t>MON</t>
  </si>
  <si>
    <t>I believe this is a boundary case because the authors call Zr-PTB a 2D MON, but it is an extended crystalline Zr-cluster/organic framework produced solvothermally and characterized by PXRD.</t>
  </si>
  <si>
    <t>rubric rule</t>
  </si>
  <si>
    <t>sonochemical</t>
  </si>
  <si>
    <t>10.1002/adma.201907063</t>
  </si>
  <si>
    <t>An in-
depth characterization and analysis of the material�s structure has
confirmed the high-quality polycrystalline nature of as-prepared
Fe3(THT)2(NH4)3 MOF films as reported in our previous work
(ref. [17]</t>
  </si>
  <si>
    <t>The Fe3(THT)2(NH4)3 MOF films are synthesized by an interfacial reaction/SI</t>
  </si>
  <si>
    <t>in Si  interfacial</t>
  </si>
  <si>
    <t>The Fe₃(THT)₂(NH₄)₃ film is formed at a CHCl₃/water interface at room temperature, which I interpret as an accepted solution-phase layering/interfacial route.</t>
  </si>
  <si>
    <t>10.1002/adma.202103316</t>
  </si>
  <si>
    <t>not solution phase synthesis
holder and subsequently sprayed with 1 � 10?3 m Cu(OAc)2 ethanolic
solution for 15 s and with a 0.2 � 10?3 m 1,4-benzene dicarboxylic acid
(BDC) ethanol solution for 25 s at room temperature. Between both the
steps, the sample was thoroughly rinsed with pure ethanol to remove
undercoordinated metal-nodes or organic linker molecules. This
procedure was repeated (in total) 35 times to grow a nominally 100 nm
thick layer</t>
  </si>
  <si>
    <t>The SURMOF layer was grown by the layer-bylayer synthesis as described by Liu et al.</t>
  </si>
  <si>
    <t>SURMOF described by Liu et al.</t>
  </si>
  <si>
    <t>Room-temperature liquid-phase layer-by-layer SURMOF growth is performed by repeatedly spraying ethanolic Cu(OAc)2 and BDC solutions onto the substrate. Spray delivery and layer-by-layer deposition count as qualifying MOF synthesis under the project rubric.</t>
  </si>
  <si>
    <t>aerosol/spray</t>
  </si>
  <si>
    <t>10.1002/adma.202304832</t>
  </si>
  <si>
    <t>Synthesis Briefly Described</t>
  </si>
  <si>
    <t>we explore the synthetic reproducibility of the Zr�porphyrin MOFs PCN-222 and PCN-224 by performing the first-ever round robin study of MOF synthesis.</t>
  </si>
  <si>
    <t>PCN-222 and 224 described in SI solvothermal</t>
  </si>
  <si>
    <t>Ten laboratories performed solvothermal PCN-222/PCN-224 syntheses, followed by XRD, TGA, SEM, IR, and physisorption.</t>
  </si>
  <si>
    <t>10.1002/adma.202500370</t>
  </si>
  <si>
    <t>Synthesis described in SI</t>
  </si>
  <si>
    <t>Synthesis mentioned in the SI, (not conventional synthesis)</t>
  </si>
  <si>
    <t>synthesis in SI</t>
  </si>
  <si>
    <t>mesoporous ZIF single crystals were synthesized in a THF–methanol–water system using micelle assembly, with XRD and nitrogen-sorption confirmation.</t>
  </si>
  <si>
    <t>10.1002/admi.202201771</t>
  </si>
  <si>
    <t>Non Solution Phase</t>
  </si>
  <si>
    <t>Synthesis mentioned in the the experimental section of the manuscript</t>
  </si>
  <si>
    <t>losely described</t>
  </si>
  <si>
    <t>HKUST-1 SURMOF films were synthesized by robotic liquid-phase layer-by-layer dipping. Automation does not change its classification as an accepted solution-phase layering method.</t>
  </si>
  <si>
    <t>film-only/SURMOF/interfacial/LbL</t>
  </si>
  <si>
    <t>10.1002/admi.202300075</t>
  </si>
  <si>
    <t>PXRD and TGA are discussed</t>
  </si>
  <si>
    <t>outlined by Rowsell and Yaghi</t>
  </si>
  <si>
    <t>Cu-BTC was synthesized from copper nitrate and BTC in DMF/ethanol/water at 85 °C for 24 hours and characterized by PXRD and gas sorption.</t>
  </si>
  <si>
    <t>10.1002/adom.202200213</t>
  </si>
  <si>
    <t>Synthesis descibed fully</t>
  </si>
  <si>
    <t>In results and discussions</t>
  </si>
  <si>
    <t>GTUB3 is directly synthesized from zinc nitrate and a porphyrin-phosphonate linker in DMF/H₂O at 80 °C, with crystallographic and PXRD confirmation.</t>
  </si>
  <si>
    <t>10.1002/adom.202200484</t>
  </si>
  <si>
    <t>Synthesis Described in Prior Work</t>
  </si>
  <si>
    <t>synthesis described in sample preparation</t>
  </si>
  <si>
    <t>The pristine EuTb-NBDC MOF is prepared following a published procedure, which the rubric explicitly accepts; the authors also conduct detailed solution-phase single-crystal ligand exchange.</t>
  </si>
  <si>
    <t>10.1002/adom.202402127</t>
  </si>
  <si>
    <t>few synthesis described even one from S. Dai et al.</t>
  </si>
  <si>
    <t>Nano- and microsized Zr-PTPC are prepared solvothermally in DMF with acid modulators at 120 °C for 48 hours and confirmed by SCXRD, PXRD, and nitrogen sorption.</t>
  </si>
  <si>
    <t>10.1002/adsc.201601072</t>
  </si>
  <si>
    <t>Coordination Polymer not a MOF</t>
  </si>
  <si>
    <t>Not MOF_ 1D coordination polymer</t>
  </si>
  <si>
    <t>coordination polymer</t>
  </si>
  <si>
    <t>The material is expressly identified as a one-dimensional coordination polymer, contrasted by the authors with porous three-dimensional MOFs.</t>
  </si>
  <si>
    <t>10.1002/adsc.202401540</t>
  </si>
  <si>
    <t>Synthesis mentioned/ But not a MOF-focused paper</t>
  </si>
  <si>
    <t>ZIF-67</t>
  </si>
  <si>
    <t>The authors directly synthesize micro- and nanosized ZIF-67 by room-temperature solution-phase co-precipitation and characterize its crystalline porosity.</t>
  </si>
  <si>
    <t>10.1002/adsu.202300269</t>
  </si>
  <si>
    <t>UiO-66</t>
  </si>
  <si>
    <t>UiO-66 and UiO-66-NH₂ were directly synthesized from ZrCl₄ and dicarboxylate linkers in DMF at 120 °C for 24 hours, followed by PXRD and BET characterization.</t>
  </si>
  <si>
    <t>10.1002/advs.201600048</t>
  </si>
  <si>
    <t>mentioned in main</t>
  </si>
  <si>
    <t>The porous Cu₃₀-cage framework was prepared solvothermally from Cu(NO₃)₂ and H₄BCP in DMF/HNO₃ at 100 °C for three days. The solvent-free process mentioned elsewhere is the catalytic reaction, not the MOF synthesis.</t>
  </si>
  <si>
    <t>10.1002/advs.201802059</t>
  </si>
  <si>
    <t>Synthesis mentioned in the SI</t>
  </si>
  <si>
    <t>reported in SI</t>
  </si>
  <si>
    <t>Zr-BTB nanosheets were formed through a modulated solution-phase reaction at 120 °C for 48 hours and subsequently functionalized with porphyrin ligands. Their 2D morphology does not by itself make the synthesis nontraditional.</t>
  </si>
  <si>
    <t>10.1002/advs.201802365</t>
  </si>
  <si>
    <t>No Evidence of Syntheis-(as synthesiszed MIL)</t>
  </si>
  <si>
    <t>The paper directly constructs NH₂-MIL-101(Fe)@NTU-COF materials and treats the MOF core as an as-synthesized material prepared through cited prior methods. This fits the guideline that synthesis described in prior work qualifies, although the standalone MOF recipe is not reproduced in the provided paper.</t>
  </si>
  <si>
    <t>citation-only synthesis counts as Y</t>
  </si>
  <si>
    <t>10.1002/advs.201902897</t>
  </si>
  <si>
    <t>Not traditional synthesis</t>
  </si>
  <si>
    <t>Synthesis mentioned in the SI_ZIF-8/MOF-199</t>
  </si>
  <si>
    <t>ZIF</t>
  </si>
  <si>
    <t>The SI explicitly describes conventional room-temperature solution synthesis of ZIF-8 and MOF-199, in addition to in situ growth within wood. Vacuum is used only for impregnation or drying, so the MOF-forming reactions count as Y.</t>
  </si>
  <si>
    <t>solution-phase synthesis cue</t>
  </si>
  <si>
    <t>10.1002/advs.202004456</t>
  </si>
  <si>
    <t>synthesis described fully</t>
  </si>
  <si>
    <t>Synthesis mentioned in the the experimental section/UiO-66-NH2</t>
  </si>
  <si>
    <t>UiO-66-NH₂ and PtPd@UiO-66-NH₂ were synthesized conventionally from ZrCl₄ and 2-aminoterephthalic acid in DMF/acetic acid at 120 °C. Vacuum was used only for activation.</t>
  </si>
  <si>
    <t>10.1002/aelm.202400773</t>
  </si>
  <si>
    <t>Not traditional synthesis, nanosheets</t>
  </si>
  <si>
    <t>MOF_nanosheets/SI</t>
  </si>
  <si>
    <t>synthesis reported in SI</t>
  </si>
  <si>
    <t>The article explicitly states that crystalline porphyrinic 2D MOF nanosheets were assembled from TCPP or TCPP(Fe) and metal acetate salts, with XRD confirmation.</t>
  </si>
  <si>
    <t>no rule matched; used vote count</t>
  </si>
  <si>
    <t>10.1002/anie.201406501</t>
  </si>
  <si>
    <t>The SI gives full solvothermal syntheses of Zrbtba, Zrptba, and mixed-linker Zr MOFs in DMF at 120 °C, including precursor quantities, isolation, and yields.</t>
  </si>
  <si>
    <t>10.1002/anie.201504786</t>
  </si>
  <si>
    <t>Not about MOFs</t>
  </si>
  <si>
    <t>Porous polymer/not MOFs</t>
  </si>
  <si>
    <t>not MOF</t>
  </si>
  <si>
    <t>The products are metal-free porous organic polymer films prepared by electropolymerization, not frameworks containing metal nodes or clusters.</t>
  </si>
  <si>
    <t>10.1002/anie.201511063</t>
  </si>
  <si>
    <t>ZIF-8@Carbon cloth/SI</t>
  </si>
  <si>
    <t>complex synthesis</t>
  </si>
  <si>
    <t>Genuine MOF coatings are formed, but the framework-forming method is explicitly solvent-free hot pressing at 200 °C, which the rubric excludes.</t>
  </si>
  <si>
    <t>10.1002/anie.201806910</t>
  </si>
  <si>
    <t>in SI</t>
  </si>
  <si>
    <t>The article states that defective and nearly defect-free UiO-66 samples were prepared and directs the reader to the SI for synthesis details; they were then modified through solution-phase linker exchange in DMF.</t>
  </si>
  <si>
    <t>10.1002/anie.201810095</t>
  </si>
  <si>
    <t>synthesis described in SI</t>
  </si>
  <si>
    <t>New MOFs and POM-containing MOFs were produced through sequential hydrothermal reactions in compartmentalized 3D-printed reactors. The unusual reactor design does not make the chemistry non-solution-phase. ·</t>
  </si>
  <si>
    <t>10.1002/anie.202007146</t>
  </si>
  <si>
    <t>Making Nanoparticles instead</t>
  </si>
  <si>
    <t>Non-conventional synthesis (Electric Field-Controlled Synthesis)</t>
  </si>
  <si>
    <t>HKUST-1 MOF nanoparticles are synthesized by locally mixing Cu2+ and BTC3− precursor solutions at a nanoscale liquid–liquid interface using nanopipette/electric-field control. Interfacial reactions and reagent-addition methods count as Y under the clarified rubric.</t>
  </si>
  <si>
    <t>10.1002/anie.202116145</t>
  </si>
  <si>
    <t>Uses Inorganic Linkers, Not MOF</t>
  </si>
  <si>
    <t>Synthesis mentioned in the SI_SOFOUR-1-Zn</t>
  </si>
  <si>
    <t>Reportede in SI</t>
  </si>
  <si>
    <t>SOFOUR-1-Zn was prepared on gram scale by stirring zinc sulfate and the organic tepb linker in methanol at room temperature. Although called a hybrid ultramicroporous material, it is a crystalline porous metal–organic coordination network with gas-sorption evidence.</t>
  </si>
  <si>
    <t>10.1002/anie.202117240</t>
  </si>
  <si>
    <t>Extrusion printing on a glass substrate</t>
  </si>
  <si>
    <t>not reported</t>
  </si>
  <si>
    <t>HKUST-1 films crystallized when separate copper acetate and H₃BTC liquid inks were co-extruded and mixed on a substrate at room temperature. This is nonstandard deposition, but the framework-forming chemistry remains solution-phase.</t>
  </si>
  <si>
    <t>manual override</t>
  </si>
  <si>
    <t>manual override: majority (extrusion-printed film) wins</t>
  </si>
  <si>
    <t>10.1002/anie.202203115</t>
  </si>
  <si>
    <t>No synthesis mentioned</t>
  </si>
  <si>
    <t>MOF NPs coated with membranes of human</t>
  </si>
  <si>
    <t>The authors directly state that they fabricated enzyme-loaded ZIF-8 MOF nanoparticles and subsequently coated them with cell membranes. A brief explicit statement that the MOF was synthesized/fabricated is sufficient for Y even when the full recipe is not reproduced in the main paper.</t>
  </si>
  <si>
    <t>manual override: majority wins per reviewer decision</t>
  </si>
  <si>
    <t>10.1002/anie.202212532</t>
  </si>
  <si>
    <t>Synthesis described in SI, difficult one as that is just a comparative synthesis, the main one disccused by paper is not traditional solution phase</t>
  </si>
  <si>
    <t>yes in SI report solvothermal</t>
  </si>
  <si>
    <t>The products are genuine crystalline and porous MOFs, but their formation is activated by a 1.5 MeV electron beam. It might be an excluded “other more extreme” method under the rubric.</t>
  </si>
  <si>
    <t>10.1002/anie.202217864</t>
  </si>
  <si>
    <t>FDM-91 was synthesized from aluminum chloride, copper nitrate, and pyrazolecarboxylic acid in DMA/methanol at 85 °C for 72 hours. FDM-92 and FDM-93 were subsequently produced by solution-phase linker transformation. Vacuum was used only for activation.</t>
  </si>
  <si>
    <t>10.1002/anie.202301021</t>
  </si>
  <si>
    <t>Non traditional Synthesis, mixed reagetnts slowly with controlled openinings</t>
  </si>
  <si>
    <t>solvothermal reported in SI</t>
  </si>
  <si>
    <t>Triethylamine vapor slowly diffuses into a liquid mother solution containing the dissolved metal and linker precursors, where MOF nucleation and growth occur. I treat this as an accepted slow-diffusion solution synthesis, not solvent-free vapor deposition.</t>
  </si>
  <si>
    <t>10.1002/anie.202312697</t>
  </si>
  <si>
    <t>synthesis decribed briefly</t>
  </si>
  <si>
    <t>ZrPCs was synthesized via a solvothermal method (mentioned in the SI)</t>
  </si>
  <si>
    <t>ZrPC and nanosheet-assembled ZrPHP porphyrinic frameworks were synthesized solvothermally from ZrCl₄ and H₂TCPP in DMF with benzoic acid at 120 °C for 24 hours, with PXRD, BET, and TGA characterization.</t>
  </si>
  <si>
    <t>10.1002/anie.202409211</t>
  </si>
  <si>
    <t>Not MOF, porous molecular crystals constructed from organic molecules</t>
  </si>
  <si>
    <t>Porous polymer/not MOFs (HOF)</t>
  </si>
  <si>
    <t>The products are metal-free porous molecular crystals assembled from discrete organic molecules through noncovalent interactions. They contain no metal nodes or clusters and are therefore not MOFs.</t>
  </si>
  <si>
    <t>10.1002/anie.202409588</t>
  </si>
  <si>
    <t>Solution phase synthesis described</t>
  </si>
  <si>
    <t>2D Zr-BTB nanosheets were synthesized_SI</t>
  </si>
  <si>
    <t>perviouly reported mention in SI nanosheets</t>
  </si>
  <si>
    <t>Wrinkled and flat 2D Zr-BTB nanosheets were synthesized from ZrCl₄ and H₃BTB in DMF with carboxylic-acid and water modulators at 120 °C for 48 hours. Their nanosheet morphology does not make the route nontraditional.</t>
  </si>
  <si>
    <t>10.1002/anie.202421132</t>
  </si>
  <si>
    <t>Non traditaional synthesis, built from POM blocks</t>
  </si>
  <si>
    <t>In situ synthesis MOF incorporated POMs</t>
  </si>
  <si>
    <t>POM</t>
  </si>
  <si>
    <t>HNPOMOF-1 and HNPOMOF-2 were synthesized hydrothermally from copper sulfate, a P₈W₄₈ polyoxometalate, and an organic triazole-carboxylate linker in water at 120 °C for 48 hours. Later ultrasonication only exfoliated the already synthesized MOF.</t>
  </si>
  <si>
    <t>POM not MOF</t>
  </si>
  <si>
    <t>10.1002/asia.202300699</t>
  </si>
  <si>
    <t>synthesis decribed briefly and reported in other places</t>
  </si>
  <si>
    <t>powder samples of the Zr-fum-MOF were synthesized</t>
  </si>
  <si>
    <t>Solvothermal reported of Zr-fum</t>
  </si>
  <si>
    <t>Zr-fumarate MOF-801 films are directly grown from ZrCl₄ and fumaric acid in DMF under solvothermal conditions and are verified by XRD and porosimetry.</t>
  </si>
  <si>
    <t>10.1002/cctc.201600985</t>
  </si>
  <si>
    <t>fully described synthesis</t>
  </si>
  <si>
    <t>The synthesis of COMOC-4 was performed  and PSM also reported</t>
  </si>
  <si>
    <t>COMOC-4</t>
  </si>
  <si>
    <t>The study directly synthesizes pristine and Ir-functionalized COMOC-4 using gallium and bipyridine-dicarboxylate building blocks, including a prefunctionalized solvothermal route and a postsynthetic solution modification route.</t>
  </si>
  <si>
    <t>10.1002/cctc.202301123</t>
  </si>
  <si>
    <t>Coordination Polymer not a MOF, not traditional solvothermal</t>
  </si>
  <si>
    <t>2D coordination coordination polymers</t>
  </si>
  <si>
    <t>coordinitation polymers</t>
  </si>
  <si>
    <t>The products are explicitly classified as two-dimensional cobalt coordination polymers. Although they are crystalline, solution-grown, and contain cavities, the project rubric specifically excludes coordination polymers.</t>
  </si>
  <si>
    <t>non-porous / low-dimensional coordination polymer</t>
  </si>
  <si>
    <t>10.1002/cey2.445</t>
  </si>
  <si>
    <t>Porous aromatic Framework</t>
  </si>
  <si>
    <t>Porous aromatic frameworks</t>
  </si>
  <si>
    <t>not MOFs</t>
  </si>
  <si>
    <t>PAF-1 is a metal-free porous aromatic or porous organic framework. Nickel acts as a coupling catalyst rather than a structural framework node.</t>
  </si>
  <si>
    <t>10.1002/chem.201102953</t>
  </si>
  <si>
    <t>Synthesis described breifly</t>
  </si>
  <si>
    <t>hydrothermal route</t>
  </si>
  <si>
    <t>A porous three-dimensional magnesium MOF was synthesized hydrothermally in water at 170 °C for three days and supported by SCXRD and nitrogen sorption.</t>
  </si>
  <si>
    <t>10.1002/chem.201203145</t>
  </si>
  <si>
    <t>a nonspecific MOF synthesis is referenced</t>
  </si>
  <si>
    <t>Review article</t>
  </si>
  <si>
    <t>refered to synthesis article</t>
  </si>
  <si>
    <t>This appears to be a literature-based Concept article about mixed-linker MOF and COF strategies, with no original framework synthesis performed in the paper.</t>
  </si>
  <si>
    <t>computational/review</t>
  </si>
  <si>
    <t>10.1002/chem.201304529</t>
  </si>
  <si>
    <t>Concept article</t>
  </si>
  <si>
    <t>no report of synthesis</t>
  </si>
  <si>
    <t>This is a Concept review of MOF crystal superstructures rather than an experimental MOF-synthesis study.</t>
  </si>
  <si>
    <t>10.1002/chem.201501649</t>
  </si>
  <si>
    <t>Two coordination polymer 2D</t>
  </si>
  <si>
    <t>The solution-grown precursor is a 1D coordination polymer, while the proposed 3D framework is generated through desolvation and solid-state photocycloaddition—an excluded nontraditional route.</t>
  </si>
  <si>
    <t>10.1002/chem.201505185</t>
  </si>
  <si>
    <t>In its SI provides detailed solvothermal syntheses of Zr and Hf MOFs in DMF with acid modulators at 120 °C, followed by solution-phase postsynthetic halogenation.</t>
  </si>
  <si>
    <t>10.1002/chem.201704190</t>
  </si>
  <si>
    <t>thin film synthesis</t>
  </si>
  <si>
    <t>Surface-Mounted Metal-Organic Framework Films</t>
  </si>
  <si>
    <t>surface MOF, no synthesis</t>
  </si>
  <si>
    <t>HKUST-1 SURMOF films are grown by repeatedly immersing substrates in separate ethanolic metal and linker solutions. Layer-by-layer deposition is explicitly accepted as Y under the project rubric.</t>
  </si>
  <si>
    <t>10.1002/chem.201802124</t>
  </si>
  <si>
    <t>MOF synthesis reported in the manuscript</t>
  </si>
  <si>
    <t>synthesis in experimental section</t>
  </si>
  <si>
    <t>ZIF-93 was synthesized from zinc acetate and an imidazolate linker in methanol/water at 80 °C, followed by solution-phase linker exchange to produce ZIF-93/11 hybrids.</t>
  </si>
  <si>
    <t>10.1002/chem.201805024</t>
  </si>
  <si>
    <t>described synthesis</t>
  </si>
  <si>
    <t>synthesis mentioned in SI</t>
  </si>
  <si>
    <t>10.1002/chem.201805137</t>
  </si>
  <si>
    <t>Not MOFs</t>
  </si>
  <si>
    <t>The paper concerns Cu nanoparticles on TiO2, not a MOF: “the reaction was catalyzed by copper nanoparticles supported on titania.”</t>
  </si>
  <si>
    <t>10.1002/chem.201903630</t>
  </si>
  <si>
    <t>synthesis referenced to prior work</t>
  </si>
  <si>
    <t>Synthesis mentioned in the manuscript</t>
  </si>
  <si>
    <t>solvothermal synthesis</t>
  </si>
  <si>
    <t>Zr-bzpdc-MOF is directly prepared: “The synthesis of Zr-bzpdc-MOF was adapted from our already reported synthesis route[24].” A full solvothermal recipe is also given.</t>
  </si>
  <si>
    <t>10.1002/chem.201905596</t>
  </si>
  <si>
    <t>Synthesis mentioned in the Ms</t>
  </si>
  <si>
    <t>Yes in Experimental section</t>
  </si>
  <si>
    <t>The authors perform direct mixed-metal MOF synthesis: “the development of a direct synthesis route for mixed-metal FeCuBTC is reported.”</t>
  </si>
  <si>
    <t>10.1002/chem.202000993</t>
  </si>
  <si>
    <t>Synthesis described in SI,</t>
  </si>
  <si>
    <t>Microwave</t>
  </si>
  <si>
    <t>UiO-66 is synthesized solvothermally and by microwave; the paper reports “microwave synthesis of UiO-66 in as little as one minute.” Microwave synthesis counts as Y.</t>
  </si>
  <si>
    <t>10.1002/chem.202100528</t>
  </si>
  <si>
    <t>synthesis in cited work</t>
  </si>
  <si>
    <t>solvothermal</t>
  </si>
  <si>
    <t>CPO-27-Ni is directly synthesized; the SI states that “the autoclave was sealed and placed in the oven for 3 days at 110 °C.” PXRD/BET and single-crystal studies support the MOF.</t>
  </si>
  <si>
    <t>10.1002/chem.202300939</t>
  </si>
  <si>
    <t>synthesis described</t>
  </si>
  <si>
    <t>Zn-MOF-74 is explicitly synthesized in the Experimental Section from 2,5-dihydroxyterephthalic acid and Zn(acac)2·H2O in DMF/H2O.</t>
  </si>
  <si>
    <t>10.1002/chem.202400442</t>
  </si>
  <si>
    <t>Solvothermal mentioned in method section</t>
  </si>
  <si>
    <t>MIL-88B-NH2 qualifies under the clarified citation rule: “The MOF was synthesized using a reported solvothermal route with only slight modifications.”</t>
  </si>
  <si>
    <t>10.1002/crat.200811112</t>
  </si>
  <si>
    <t>2D coordination polymer (porosity not studied)</t>
  </si>
  <si>
    <t>The products are explicitly 1D/2D coordination polymers rather than MOFs: “one new Mn(II) and one Co(II) coordination polymers … were synthesized.”</t>
  </si>
  <si>
    <t>10.1002/cssc.201500780</t>
  </si>
  <si>
    <t>"ZIFs were synthesized by using previously reported methods"</t>
  </si>
  <si>
    <t>couldn't find direct synthesis method</t>
  </si>
  <si>
    <t>The ZIF precursors were made in this work by cited procedures: “ZIF-7, ZIF-8, ZIF-9, and ZIF-67 were synthesized by using previously reported methods.”</t>
  </si>
  <si>
    <t>10.1002/ejic.200500217</t>
  </si>
  <si>
    <t>The paper reports “four novel coordination polymers” of NiII/CoII. Even though some are porous, the project rubric excludes coordination polymers from MOF positives.</t>
  </si>
  <si>
    <t>solution-phase synthesis cue/ Porous material</t>
  </si>
  <si>
    <t>10.1002/ejic.200700651</t>
  </si>
  <si>
    <t>Synthesis described</t>
  </si>
  <si>
    <t>Synthesis mentioned in the Ms  (2D coordination network)</t>
  </si>
  <si>
    <t>Not MOF</t>
  </si>
  <si>
    <t>The products are explicitly “seven metal-organic coordination polymers,” mainly 1D chains/supramolecular networks, so they are excluded by the rubric.</t>
  </si>
  <si>
    <t>10.1002/ejic.200900914</t>
  </si>
  <si>
    <t>synthesis describe in experimental section</t>
  </si>
  <si>
    <t>The authors explicitly form copper-sulfonate metal-organic frameworks; the abstract states the sulfonic acids are “used … for the formation of metal-organic frameworks with copper(II) centers.”</t>
  </si>
  <si>
    <t>10.1002/ejic.201000490</t>
  </si>
  <si>
    <t>solvothermal described</t>
  </si>
  <si>
    <t>The reaction of CuCl2·2H2O with ditopic azolate ligands “affords the metal-organic frameworks” Cu(MeBDT)(dmf), Cu(BPDT)(dmf), and Cu(TFBDTri)(dmf), with porous channels.</t>
  </si>
  <si>
    <t>10.1002/ejic.201100789</t>
  </si>
  <si>
    <t>multiple synthesis described</t>
  </si>
  <si>
    <t>A new mixed-linker ZIF is synthesized and shown permanently porous: “We report the synthesis and characterization of the new switchable Zn-based zeolitic imidazolate framework [Zn(Im)(aIm)].”</t>
  </si>
  <si>
    <t>10.1002/ejic.201200106</t>
  </si>
  <si>
    <t>solvothermal described\</t>
  </si>
  <si>
    <t>V-MIL-101 and V-MIL-101-NH2 are directly prepared: “Compounds 1 and 2 were prepared under similar solvothermal conditions (150 °C, 24 h) in DMF.”</t>
  </si>
  <si>
    <t>10.1002/ejic.201200345</t>
  </si>
  <si>
    <t>says MOF synthesis in title</t>
  </si>
  <si>
    <t>Five isoreticular lanthanide MOFs are directly made; the paper states they “were synthesized under solvothermal conditions,” with PXRD and 3D framework structures.</t>
  </si>
  <si>
    <t>10.1002/ejic.201403149</t>
  </si>
  <si>
    <t>hydrothermal described</t>
  </si>
  <si>
    <t>The alkaline-earth frameworks are directly synthesized hydrothermally: compounds 1 and 2 “have been prepared by hydrothermal reactions,” and show N2/H2/CO2 sorption.</t>
  </si>
  <si>
    <t>10.1002/ejic.201700662</t>
  </si>
  <si>
    <t>The paper explicitly describes the products as “three threefold interpenetrated 3D coordination polymers”; under the project rubric, coordination polymers are not counted as MOFs.</t>
  </si>
  <si>
    <t>10.1002/ejic.201701474</t>
  </si>
  <si>
    <t>The paper reports “two series of metal-organic frameworks (MOFs) … obtained hydrothermally”; the Experimental Section also uses previously reported hydrothermal synthesis conditions, which count as Y.</t>
  </si>
  <si>
    <t>10.1002/ejic.201901347</t>
  </si>
  <si>
    <t>Y/N</t>
  </si>
  <si>
    <t>synthesis described of nontraditional syntheis, H shaped vessel</t>
  </si>
  <si>
    <t>yes noted in the experimental section</t>
  </si>
  <si>
    <t>Synthesis described fully.</t>
  </si>
  <si>
    <t>10.1002/mame.202300048</t>
  </si>
  <si>
    <t>synthesis desibred</t>
  </si>
  <si>
    <t>Synthesis described in the Ms UIO-66-NH2</t>
  </si>
  <si>
    <t>noted a pervious procedure and solvothermal</t>
  </si>
  <si>
    <t>10.1002/open.201800243</t>
  </si>
  <si>
    <t>metal complex not MOF</t>
  </si>
  <si>
    <t>Metal bonded redox complex</t>
  </si>
  <si>
    <t>Discrete dinuclear copper paddle-wheel complexes are synthesized as molecular model systems; the paper does not report an extended porous MOF.</t>
  </si>
  <si>
    <t>10.1002/open.201900032</t>
  </si>
  <si>
    <t>Synthesis of MIL-101 described in the Ms</t>
  </si>
  <si>
    <t>says in title and described in experimental section</t>
  </si>
  <si>
    <t>10.1002/open.201900146</t>
  </si>
  <si>
    <t>synthesis described, but in a unlabeled section</t>
  </si>
  <si>
    <t>Synthesis discussed in the Ms</t>
  </si>
  <si>
    <t>synthesis of ZIF-8 was not described</t>
  </si>
  <si>
    <t>10.1002/open.202400110</t>
  </si>
  <si>
    <t>Synthesis described in SI.</t>
  </si>
  <si>
    <t>10.1002/ppsc.202000209</t>
  </si>
  <si>
    <t>SURMOF dipping procudure described</t>
  </si>
  <si>
    <t>Crystallization was performed in Transmission Electron Microscopy Grids</t>
  </si>
  <si>
    <t>ZIF-8 described in high detail</t>
  </si>
  <si>
    <t>Layer-by-layer synthesis described fully.</t>
  </si>
  <si>
    <t>10.1002/qua.25057</t>
  </si>
  <si>
    <t>Thermodynamics of Gas Adsorption in MOFs</t>
  </si>
  <si>
    <t>review paper</t>
  </si>
  <si>
    <t>Perspective/review article on computational thermodynamics of gas adsorption in MOFs; no MOF synthesis is performed.</t>
  </si>
  <si>
    <t>10.1002/smll.201200558</t>
  </si>
  <si>
    <t>synthesis described wierd at end</t>
  </si>
  <si>
    <t>The synthesized shells are explicitly coordination polymers rather than MOFs; they are later calcined to metal oxides.</t>
  </si>
  <si>
    <t>MOF-derived material</t>
  </si>
  <si>
    <t>10.1002/smll.201805133</t>
  </si>
  <si>
    <t>nothing typucal is described</t>
  </si>
  <si>
    <t>Synthesis described in the SI</t>
  </si>
  <si>
    <t>solvothermal noted</t>
  </si>
  <si>
    <t>Interfacial MOF synthesis described fully.</t>
  </si>
  <si>
    <t>10.1002/smll.202101475</t>
  </si>
  <si>
    <t>vertical surmof, electrochem, far remved from mof synthesis</t>
  </si>
  <si>
    <t>SURMOF vertical heterojunctions</t>
  </si>
  <si>
    <t>synthesis not noted</t>
  </si>
  <si>
    <t>Layer-by-layer SURMOF synthesis described fully.</t>
  </si>
  <si>
    <t>electrochemical</t>
  </si>
  <si>
    <t>10.1002/smll.202206988</t>
  </si>
  <si>
    <t>Synthesis of conductive Cu3(TATHB)2 crystalline framework</t>
  </si>
  <si>
    <t>reflux mentioned</t>
  </si>
  <si>
    <t>10.1002/smll.202301933</t>
  </si>
  <si>
    <t>Secondary building unit (SBU)-assisted synthesis (SAS) route to Fe-MOF-525</t>
  </si>
  <si>
    <t>nano MOF (complex synthesis)</t>
  </si>
  <si>
    <t>10.1002/smll.202305999</t>
  </si>
  <si>
    <t>synthesis reported in SI in detail</t>
  </si>
  <si>
    <t>reports new Zr-non-interpenetrated MOF</t>
  </si>
  <si>
    <t>10.1002/smll.202501767</t>
  </si>
  <si>
    <t>[Zn2(CO2)2(ATz)4]  ultra-robust metal-organic framework MOF reported</t>
  </si>
  <si>
    <t>10.1002/sstr.202300055</t>
  </si>
  <si>
    <t>MIL-101(Cr) and MIL-101(Cr)/MCM-41 synthesized by the hydrothermal method is detailed in Supporting Information</t>
  </si>
  <si>
    <t>referenced and described</t>
  </si>
  <si>
    <t>10.1002/sstr.202300293</t>
  </si>
  <si>
    <t>no synthesis mentioned</t>
  </si>
  <si>
    <t>Timely review on the latest achievements in the field of nc-MOFs</t>
  </si>
  <si>
    <t>perspective noting Xiao et al. synthesis c-MOF</t>
  </si>
  <si>
    <t>Review article summarizing synthesis and applications of nanostructured conductive MOFs; no original MOF synthesis is performed.</t>
  </si>
  <si>
    <t>10.1002/sstr.202300346</t>
  </si>
  <si>
    <t>Synthesis of ZIF-8 on the 3D-printed ceramic alumina scaffold</t>
  </si>
  <si>
    <t>plating procedure noted not syntheiss</t>
  </si>
  <si>
    <t>In situ/counter-diffusion MOF membrane synthesis described fully.</t>
  </si>
  <si>
    <t>10.1002/zaac.200700235</t>
  </si>
  <si>
    <t>synthesis desribed</t>
  </si>
  <si>
    <t>10.1002/zaac.200900442</t>
  </si>
  <si>
    <t>solbothermal noted</t>
  </si>
  <si>
    <t>10.1002/zaac.201000256</t>
  </si>
  <si>
    <t>coordination polymer, has water in formula, 1d</t>
  </si>
  <si>
    <t>1D coordination polymer (porosity not studied)</t>
  </si>
  <si>
    <t>hydrothermal ddescribed</t>
  </si>
  <si>
    <t>The products are explicitly 1D lead coordination polymers; the 3D structure arises only from supramolecular interactions, so they are not MOFs under the project rubric.</t>
  </si>
  <si>
    <t>10.1002/zaac.201000326</t>
  </si>
  <si>
    <t>no permanant porosity</t>
  </si>
  <si>
    <t>Synthesis described in the Ms</t>
  </si>
  <si>
    <t>hydrothermal noted</t>
  </si>
  <si>
    <t>The paper reports Co/Cu coordination polymers. Although one forms an interpenetrated 3D network, it has essentially no porosity and is not treated as a qualifying porous MOF.</t>
  </si>
  <si>
    <t>10.1002/zaac.201100104</t>
  </si>
  <si>
    <t>The products are explicitly zinc coordination polymers (2D and interpenetrated 3D networks), with no porosity evidence; coordination polymers are excluded by the rubric.</t>
  </si>
  <si>
    <t>10.1002/zaac.201200394</t>
  </si>
  <si>
    <t>not mof</t>
  </si>
  <si>
    <t>coordination polymers</t>
  </si>
  <si>
    <t>The products are explicitly described as coordination polymers. One has a 3D framework, but no porosity/gas-sorption evidence is reported, so it does not meet the project MOF criterion.</t>
  </si>
  <si>
    <t>10.1002/zaac.201200400</t>
  </si>
  <si>
    <t>1D coordiantion polymer</t>
  </si>
  <si>
    <t>solvothermal noted (refered to as both MOF and coordnation polymer CPO-9.)</t>
  </si>
  <si>
    <t>The products are explicitly 1D copper coordination polymers, not MOFs.</t>
  </si>
  <si>
    <t>10.1002/zaac.201700108</t>
  </si>
  <si>
    <t>cooridnation polymer, no porosity</t>
  </si>
  <si>
    <t>Ln coordination polymer (porosity not studied)</t>
  </si>
  <si>
    <t>Fourteen lanthanide coordination polymers are synthesized, but their structural motifs are 1D or 2D; the paper itself classifies them as coordination polymers.</t>
  </si>
  <si>
    <t>10.1002/zaac.201700250</t>
  </si>
  <si>
    <t>not a MOF</t>
  </si>
  <si>
    <t>The products are Cd/Zn thiocyanate coordination compounds/polymers with 1D or 2D networks rather than qualifying porous MOFs.</t>
  </si>
  <si>
    <t>10.1016/j.apcata.2021.118381</t>
  </si>
  <si>
    <t>complex not mof</t>
  </si>
  <si>
    <t>Pd(II) complexes as catalysts for the Suzuki-Miyaura reaction</t>
  </si>
  <si>
    <t>synthesis of MOF not noted</t>
  </si>
  <si>
    <t>Review article on heterogenized Pd(II) catalysts; no original MOF synthesis is performed.</t>
  </si>
  <si>
    <t>10.1016/j.biomaterials.2019.119365</t>
  </si>
  <si>
    <t>situ nMOF</t>
  </si>
  <si>
    <t>10.1016/j.catcom.2021.106367</t>
  </si>
  <si>
    <t>polyoxometalate-based metal-organic framework_Synthesis described in the Ms</t>
  </si>
  <si>
    <t>POMOF (hydrothermal)</t>
  </si>
  <si>
    <t>10.1016/j.catcom.2022.106420</t>
  </si>
  <si>
    <t>catalysis paper</t>
  </si>
  <si>
    <t>Heterogeneous catalysis paper</t>
  </si>
  <si>
    <t>Review article on heterogeneous catalysts for direct amide synthesis; no original MOF synthesis is performed.</t>
  </si>
  <si>
    <t>10.1016/j.catcom.2022.106446</t>
  </si>
  <si>
    <t>small complexes</t>
  </si>
  <si>
    <t>supramolecular host-guest complex</t>
  </si>
  <si>
    <t>A crown-ether/Keggin polyoxometalate supramolecular complex is synthesized, not a metal-organic framework.</t>
  </si>
  <si>
    <t>10.1016/j.catcom.2022.106472</t>
  </si>
  <si>
    <t>hyrothermal CUZ-7 refered to in intro</t>
  </si>
  <si>
    <t>Microwave MOF synthesis described fully.</t>
  </si>
  <si>
    <t>10.1016/j.cattod.2021.08.025</t>
  </si>
  <si>
    <t>synthesis in citation</t>
  </si>
  <si>
    <t>MOF-74 procedure published elsewhere (9,11)</t>
  </si>
  <si>
    <t>10.1016/j.cattod.2021.09.028</t>
  </si>
  <si>
    <t>synthesis of UiO-66 described</t>
  </si>
  <si>
    <t>10.1016/j.cattod.2021.11.004</t>
  </si>
  <si>
    <t>syntheses described</t>
  </si>
  <si>
    <t>This work describes systematic approaches to afford the semiamorphous Fe-BDC at room temperature</t>
  </si>
  <si>
    <t>solvothermal deseribed</t>
  </si>
  <si>
    <t>The synthesized Fe-BDC is explicitly semiamorphous and 'basically lacks the crystalline nature' of MIL-101(Fe); the project definition requires a crystalline porous framework.</t>
  </si>
  <si>
    <t>amorphous (must be crystalline)</t>
  </si>
  <si>
    <t>10.1016/j.cattod.2024.114705</t>
  </si>
  <si>
    <t>subtitled saying Synthesis of MOF-808</t>
  </si>
  <si>
    <t>10.1016/j.chroma.2016.09.057</t>
  </si>
  <si>
    <t>crystals MIL-125 (Ti) crystals were prepared by applying the concept of synthesis modulation using a monocarboxylic acid additive</t>
  </si>
  <si>
    <t>MIL-125 synthesis was described</t>
  </si>
  <si>
    <t>10.1016/j.cscm.2024.e03586</t>
  </si>
  <si>
    <t>summary paper</t>
  </si>
  <si>
    <t>Case study paper</t>
  </si>
  <si>
    <t>review referincing specific MOF synthesis</t>
  </si>
  <si>
    <t>Comprehensive review of MOF/MXene construction materials; no original MOF synthesis is performed.</t>
  </si>
  <si>
    <t>10.1016/j.ica.2016.10.021</t>
  </si>
  <si>
    <t>1D coordination network</t>
  </si>
  <si>
    <t>The products are explicitly 1D and 2D coordination polymers rather than MOFs.</t>
  </si>
  <si>
    <t>10.1016/j.ica.2017.09.047</t>
  </si>
  <si>
    <t>10.1016/j.ica.2018.05.024</t>
  </si>
  <si>
    <t>Non porous coordination polymer</t>
  </si>
  <si>
    <t>coordination polymer subclass MOF</t>
  </si>
  <si>
    <t>The products are explicitly zinc coordination polymers (a 2D network and a 1D double strand), not qualifying MOFs under the project rubric.</t>
  </si>
  <si>
    <t>10.1016/j.ica.2018.06.038</t>
  </si>
  <si>
    <t>coordiantion polymer</t>
  </si>
  <si>
    <t>The paper reports mixed-ligand coordination polymers with 1D, 2D, and 3D structures; coordination polymers are excluded by the project rubric.</t>
  </si>
  <si>
    <t>10.1016/j.ica.2018.09.025</t>
  </si>
  <si>
    <t>solvothermal MOF mentioned in title</t>
  </si>
  <si>
    <t>Solvothermal MOF synthesis described fully.</t>
  </si>
  <si>
    <t>10.1016/j.ica.2019.03.034</t>
  </si>
  <si>
    <t>Non porous coordination compound</t>
  </si>
  <si>
    <t>The products are binuclear complexes and 1D/2D zinc/cadmium coordination polymers rather than qualifying MOFs.</t>
  </si>
  <si>
    <t>10.1016/j.ica.2020.119500</t>
  </si>
  <si>
    <t>porous coordination</t>
  </si>
  <si>
    <t>Porous coordination polymer</t>
  </si>
  <si>
    <t>solvothermal noted coordination polymer (subclass MOF)</t>
  </si>
  <si>
    <t>The materials are explicitly described as zinc/cobalt coordination polymers, including 1D/2D/3D CPs; coordination polymers are excluded by the rubric.</t>
  </si>
  <si>
    <t>has porosity</t>
  </si>
  <si>
    <t>10.1016/j.ica.2020.120048</t>
  </si>
  <si>
    <t>synthesis described and mofs disuccsed heavilty</t>
  </si>
  <si>
    <t>The study synthesizes a discrete Cu(II) complex and a Co(II) coordination polymer, not a qualifying MOF.</t>
  </si>
  <si>
    <t>10.1016/j.ica.2020.120193</t>
  </si>
  <si>
    <t>solvothermal coordination polymer subclass MOF</t>
  </si>
  <si>
    <t>The products are explicitly coordination polymers. Even though gas adsorption is studied for one structure, the project rubric excludes coordination polymers.</t>
  </si>
  <si>
    <t>10.1016/j.inoche.2009.04.028</t>
  </si>
  <si>
    <t>no mof characteristics</t>
  </si>
  <si>
    <t>synthesis is not described</t>
  </si>
  <si>
    <t>The coordination framework is an infinite 1D chain; its apparent 3D architecture is generated by hydrogen-bonding/supramolecular interactions rather than an extended porous coordination framework.</t>
  </si>
  <si>
    <t>10.1016/j.inoche.2019.107512</t>
  </si>
  <si>
    <t>synthesis not discussed</t>
  </si>
  <si>
    <t>Porous coordination polymer_synthesis described in the MS</t>
  </si>
  <si>
    <t>solvothermal described in SI</t>
  </si>
  <si>
    <t>10.1016/j.inoche.2020.108197</t>
  </si>
  <si>
    <t>mof synthesis in citation</t>
  </si>
  <si>
    <t>MOF mentioned by synthesis not described</t>
  </si>
  <si>
    <t>Review article on transformation strategies between homogeneous and heterogeneous catalysts; no original MOF synthesis is performed.</t>
  </si>
  <si>
    <t>10.1016/j.jcou.2016.11.005</t>
  </si>
  <si>
    <t>Immobilized ionic liquids</t>
  </si>
  <si>
    <t>synthesis not mentioned</t>
  </si>
  <si>
    <t>The study concerns immobilized protic ionic-liquid catalysts rather than MOF synthesis.</t>
  </si>
  <si>
    <t>10.1016/j.jcou.2023.102633</t>
  </si>
  <si>
    <t>synthesis desdribed</t>
  </si>
  <si>
    <t>Novel mixed metal ZIFs were reported</t>
  </si>
  <si>
    <t>synthesis mentioned in main text</t>
  </si>
  <si>
    <t>10.1016/j.jcou.2024.102933</t>
  </si>
  <si>
    <t>synthesis described with a IL@mof, so maybe</t>
  </si>
  <si>
    <t>The target materials are explicitly described as Mn isoreticular coordination polymers. Despite MOF-47 nomenclature and porosity, coordination polymers are excluded by the project rubric.</t>
  </si>
  <si>
    <t>10.1016/j.jcou.2025.103025</t>
  </si>
  <si>
    <t>new MOF discovery solvothermal described</t>
  </si>
  <si>
    <t>10.1016/j.jcou.2025.103035</t>
  </si>
  <si>
    <t>MOF sonication synthesis</t>
  </si>
  <si>
    <t>10.1016/j.jmat.2020.10.008</t>
  </si>
  <si>
    <t>synthesis reference noted in table</t>
  </si>
  <si>
    <t>Review/design-strategy article on MOF-derived porous functional materials; no original MOF synthesis is performed.</t>
  </si>
  <si>
    <t>10.1016/j.jmgm.2022.108275</t>
  </si>
  <si>
    <t>Monte Carlo and molecular dynamics simulation studies</t>
  </si>
  <si>
    <t>referenced mentioned by not explicated stating synthesis reference UiO-66</t>
  </si>
  <si>
    <t>Computational molecular-simulation study of adsorption and diffusion in ZIF-7; no MOF synthesis is performed.</t>
  </si>
  <si>
    <t>10.1016/j.jmrt.2020.05.015</t>
  </si>
  <si>
    <t>metal-organic framework based on naphthalenedicarboxylic acid is described</t>
  </si>
  <si>
    <t>solvothermal MOF described</t>
  </si>
  <si>
    <t>10.1016/j.jmrt.2022.03.028</t>
  </si>
  <si>
    <t>synthesis desibred and cited</t>
  </si>
  <si>
    <t>reflux NMOF desribed</t>
  </si>
  <si>
    <t>10.1016/j.matdes.2021.109741</t>
  </si>
  <si>
    <t>snthesis desscribed</t>
  </si>
  <si>
    <t>synthesis of ZIF-8 was described</t>
  </si>
  <si>
    <t>10.1016/j.matdes.2023.112252</t>
  </si>
  <si>
    <t>many syntheses cited</t>
  </si>
  <si>
    <t>MOF synthesis referenced in table but not explicity stated</t>
  </si>
  <si>
    <t>Review article on multifunctional MOFs for wound healing and skin regeneration; no original MOF synthesis is performed.</t>
  </si>
  <si>
    <t>10.1016/j.matlet.2017.03.140</t>
  </si>
  <si>
    <t>mechanochemical</t>
  </si>
  <si>
    <t>Mechanochemical  synthesis of UIO-66 and 67</t>
  </si>
  <si>
    <t>ball milling mentioned synthesis</t>
  </si>
  <si>
    <t>UiO-67-type MOFs are produced by mechanochemical synthesis; mechanochemistry is excluded by the project rubric.</t>
  </si>
  <si>
    <t>10.1016/j.micromeso.2015.02.049</t>
  </si>
  <si>
    <t>film on coils</t>
  </si>
  <si>
    <t>zeolitic imidazolate framework film</t>
  </si>
  <si>
    <t>referenced a powder synthesis paper for ZIF-8</t>
  </si>
  <si>
    <t>Secondary/direct-growth MOF synthesis described fully.</t>
  </si>
  <si>
    <t>10.1016/j.micromeso.2016.01.044</t>
  </si>
  <si>
    <t>Hydrothermal synthesis of Cu(CDC) was adapted from the literature</t>
  </si>
  <si>
    <t>hyrothermal synthesis of Cu(CDC)</t>
  </si>
  <si>
    <t>10.1016/j.micromeso.2017.08.054</t>
  </si>
  <si>
    <t>synthesis descirbed</t>
  </si>
  <si>
    <t>UiO-66 was synthesized based on a reported procedure</t>
  </si>
  <si>
    <t>Synthesis described in prior work and full procedure.</t>
  </si>
  <si>
    <t>10.1016/j.micromeso.2018.08.027</t>
  </si>
  <si>
    <t>synthesis descibred</t>
  </si>
  <si>
    <t>[Ni(C4HO3)(H2O)]�4H2O (CPO-27-Ni) in pure water was synthesized</t>
  </si>
  <si>
    <t>10.1016/j.micromeso.2019.109564</t>
  </si>
  <si>
    <t>ionic liquid not solvothermal</t>
  </si>
  <si>
    <t>Ionic liquid-assisted synthesis UiO-66</t>
  </si>
  <si>
    <t>mentioned in referenc and reported in synthesis section 2.3</t>
  </si>
  <si>
    <t>Ionothermal synthesis described fully.</t>
  </si>
  <si>
    <t>ionothermal/ionic liquid</t>
  </si>
  <si>
    <t>10.1016/j.micromeso.2020.110686</t>
  </si>
  <si>
    <t>Hydrothermal synthesis mentioned in the SI</t>
  </si>
  <si>
    <t>TIFSIX solvothermal</t>
  </si>
  <si>
    <t>Thin-film MOF synthesis described fully.</t>
  </si>
  <si>
    <t>10.1016/j.micromeso.2020.110777</t>
  </si>
  <si>
    <t>ultrasound synthesis</t>
  </si>
  <si>
    <t>ultrasound-assisted synthesis of controllable Zn/Co-based ZIFs</t>
  </si>
  <si>
    <t>The framework-forming route is ultrasound-assisted/sonochemical synthesis; this is treated as a nontraditional synthesis route under the project rubric.</t>
  </si>
  <si>
    <t>10.1016/j.micromeso.2021.111310</t>
  </si>
  <si>
    <t>synthesis of ZIF-67</t>
  </si>
  <si>
    <t>10.1016/j.micromeso.2021.111487</t>
  </si>
  <si>
    <t>synthesis descired for comparison</t>
  </si>
  <si>
    <t>compless hydraulic press synthesis</t>
  </si>
  <si>
    <t>The paper explicitly uses solventless synthesis with a hydraulic press and elevated temperature; this route is excluded by the project rubric.</t>
  </si>
  <si>
    <t>10.1016/j.micromeso.2022.111703</t>
  </si>
  <si>
    <t>ionic liquid</t>
  </si>
  <si>
    <t>Porous materials with ionic liquid assisted synthesis</t>
  </si>
  <si>
    <t>situ review study</t>
  </si>
  <si>
    <t>Review article on porous-material/ionic-liquid composites; no original MOF synthesis is performed.</t>
  </si>
  <si>
    <t>10.1016/j.micromeso.2022.112163</t>
  </si>
  <si>
    <t>synthesis desrecibed</t>
  </si>
  <si>
    <t>ZIF-8 with novel modulator</t>
  </si>
  <si>
    <t>In situ/coating MOF synthesis described fully.</t>
  </si>
  <si>
    <t>10.1016/j.micromeso.2023.112961</t>
  </si>
  <si>
    <t>MOF-808 was synthesized using the water-based method reported earlier</t>
  </si>
  <si>
    <t>MOF-808 water based synthesis noted and described</t>
  </si>
  <si>
    <t>10.1016/j.micromeso.2024.113010</t>
  </si>
  <si>
    <t>MIL-125(H) was prepared by a solvothermal route</t>
  </si>
  <si>
    <t>both MIL-125 and UiO-66 described</t>
  </si>
  <si>
    <t>10.1016/j.molstruc.2016.12.053</t>
  </si>
  <si>
    <t>nonporous complex</t>
  </si>
  <si>
    <t>synthesis of [Cu(cyhxn)2(H2O)2][OTf]2 complex</t>
  </si>
  <si>
    <t>The synthesized product is a discrete dinuclear Cu(II) molecular complex used for homogeneous catalysis, not a MOF.</t>
  </si>
  <si>
    <t>10.1016/j.molstruc.2018.06.086</t>
  </si>
  <si>
    <t>synthesis of linkers</t>
  </si>
  <si>
    <t>4'-(2H-tetrazol-5-yl)-[1,10-biphenyl]-4-carboxylic acid linker synthesis</t>
  </si>
  <si>
    <t>The paper synthesizes an organic ligand proposed for future MOF preparation; no MOF is synthesized in this work.</t>
  </si>
  <si>
    <t>10.1016/j.molstruc.2021.131918</t>
  </si>
  <si>
    <t>microwave for coordination poylmers</t>
  </si>
  <si>
    <t>Ln 6 ( ?6 -O)( ?3 -OH) 8 (NO 3 ) 6 (H 2 O) 12 �2NO 3 �2H 2 O [Ln 6 ], lead to iso- structural 1D coordination polymers</t>
  </si>
  <si>
    <t>microwave coordination polymer</t>
  </si>
  <si>
    <t>The products are explicitly 1D lanthanide coordination polymers rather than MOFs.</t>
  </si>
  <si>
    <t>10.1016/j.mtadv.2021.100145</t>
  </si>
  <si>
    <t>no synthesis</t>
  </si>
  <si>
    <t>references reported in table</t>
  </si>
  <si>
    <t>Review article on zeolitic tetrazolate-imidazolate frameworks; no original MOF synthesis is performed.</t>
  </si>
  <si>
    <t>10.1016/j.mtadv.2023.100390</t>
  </si>
  <si>
    <t>Synthesis of the highly porous Hf-(Hf)PCN-224(M)</t>
  </si>
  <si>
    <t>microwave synthesis</t>
  </si>
  <si>
    <t>10.1016/j.mtadv.2023.100448</t>
  </si>
  <si>
    <t>ZIF-67 cosolvent</t>
  </si>
  <si>
    <t>10.1016/j.mtadv.2025.100579</t>
  </si>
  <si>
    <t>(Hf)PCN-224(Co) was synthesized according to our previously described microwave-assisted protocol</t>
  </si>
  <si>
    <t>reported pervious protocol reference</t>
  </si>
  <si>
    <t>Synthesis described in prior work.</t>
  </si>
  <si>
    <t>microwave</t>
  </si>
  <si>
    <t>10.1016/j.mtbio.2021.100097</t>
  </si>
  <si>
    <t>ZIF-90 described</t>
  </si>
  <si>
    <t>10.1016/j.mtbio.2022.100507</t>
  </si>
  <si>
    <t>Ellipsoid-like bismuth particles (Ellipsoids) were prepared according to the report</t>
  </si>
  <si>
    <t>BI-MOF described</t>
  </si>
  <si>
    <t>Room-temperature MOF synthesis described fully.</t>
  </si>
  <si>
    <t>10.1016/j.mtbio.2024.101134</t>
  </si>
  <si>
    <t>review article</t>
  </si>
  <si>
    <t>link examples of synthesis type in table but not specific MOFs refered too</t>
  </si>
  <si>
    <t>Review article on biomimetic functionalized MOFs for cancer vaccines; no original MOF synthesis is performed.</t>
  </si>
  <si>
    <t>10.1016/j.mtchem.2018.02.002</t>
  </si>
  <si>
    <t>ZIF -8 synthesis</t>
  </si>
  <si>
    <t>ZIF-8 reported in SI</t>
  </si>
  <si>
    <t>10.1016/j.mtener.2023.101346</t>
  </si>
  <si>
    <t>aerogel not MOF</t>
  </si>
  <si>
    <t>synthesis and characterization of a series of titanium based metal-organic aerogels</t>
  </si>
  <si>
    <t>MOGs</t>
  </si>
  <si>
    <t>The synthesized products are metal-organic aerogels/gel networks that explicitly lack crystallinity; the project definition requires a crystalline porous MOF.</t>
  </si>
  <si>
    <t>10.1016/j.pnsc.2018.08.002</t>
  </si>
  <si>
    <t>synthesis desctibed</t>
  </si>
  <si>
    <t>Synthesis is described in the manuscript</t>
  </si>
  <si>
    <t>10.1016/j.polymertesting.2024.108659</t>
  </si>
  <si>
    <t>syntheis described</t>
  </si>
  <si>
    <t>MIL-101(Cr) synthesis described</t>
  </si>
  <si>
    <t>MIL-101(Cr) solvothermal described</t>
  </si>
  <si>
    <t>10.1016/j.rinp.2019.102564</t>
  </si>
  <si>
    <t>mof synthesis not described</t>
  </si>
  <si>
    <t>MOF synthesis not discussed, MOF composite synthesis presented</t>
  </si>
  <si>
    <t>synthesis reported in materials</t>
  </si>
  <si>
    <t>10.1016/j.solidstatesciences.2020.106292</t>
  </si>
  <si>
    <t>Synthesis of MOF-5 is described</t>
  </si>
  <si>
    <t>reported in the main section</t>
  </si>
  <si>
    <t>10.1016/j.ultsonch.2021.105616</t>
  </si>
  <si>
    <t>synthesis described for comparison</t>
  </si>
  <si>
    <t>Sonocrystallisation of ZIF-8 in water</t>
  </si>
  <si>
    <t>ZIF-8 per Pan et al.</t>
  </si>
  <si>
    <t>10.1016/j.ultsonch.2022.106003</t>
  </si>
  <si>
    <t>metal�organic framework by ultrasound-assisted rapid synthesis</t>
  </si>
  <si>
    <t>sonication method U-CD-MOF</t>
  </si>
  <si>
    <t>Vapor-diffusion MOF synthesis described for comparison.</t>
  </si>
  <si>
    <t>10.1021/acs.cgd.1c00213</t>
  </si>
  <si>
    <t>mechanochamical</t>
  </si>
  <si>
    <t>Mechanochemical Synthesis</t>
  </si>
  <si>
    <t>MOF-74 is synthesized mechanochemically by ball milling; mechanochemical framework formation is excluded by the project rubric.</t>
  </si>
  <si>
    <t>10.1021/acs.cgd.5b01680</t>
  </si>
  <si>
    <t>Report the synthesis of six new MOFs</t>
  </si>
  <si>
    <t>general synthesis YCM-21 mentioned</t>
  </si>
  <si>
    <t>10.1021/acs.cgd.8b00590</t>
  </si>
  <si>
    <t>syntheis with ccdc codes</t>
  </si>
  <si>
    <t>two new heterometallic coordination polymers</t>
  </si>
  <si>
    <t>The products are explicitly heterometallic coordination polymers rather than qualifying MOFs under the project rubric.</t>
  </si>
  <si>
    <t>10.1021/acs.cgd.9b00838</t>
  </si>
  <si>
    <t>the synthesis of a previously unknown ZIF compound</t>
  </si>
  <si>
    <t>ZIF synthesis mentioned</t>
  </si>
  <si>
    <t>10.1021/acs.cgd.9b00916</t>
  </si>
  <si>
    <t>synthesis of the Zr-based MOF UiO-67</t>
  </si>
  <si>
    <t>UiO synthesis described</t>
  </si>
  <si>
    <t>10.1021/acs.chemmater.0c03718</t>
  </si>
  <si>
    <t>copper(II) porphyrinic framework Zr?Cu?NU-1102  was synthesized</t>
  </si>
  <si>
    <t>described synthesis in SI</t>
  </si>
  <si>
    <t>10.1021/acs.chemmater.1c04132</t>
  </si>
  <si>
    <t>referenced Hirai et al. and discription on microwave synthesis</t>
  </si>
  <si>
    <t>The Zn terephthalate phases are synthesized by ball milling/mechanochemistry, which is excluded by the project rubric.</t>
  </si>
  <si>
    <t>mechanochemical/ball-milling</t>
  </si>
  <si>
    <t>10.1021/acs.chemmater.2c00241</t>
  </si>
  <si>
    <t>in-depth structure?activity study of UIO-66 and 67</t>
  </si>
  <si>
    <t>10.1021/acs.chemmater.2c01481</t>
  </si>
  <si>
    <t>We have completed a study with the RPF-4 MOF family, which is made of various rare-earth elements,</t>
  </si>
  <si>
    <t>general synthesis described</t>
  </si>
  <si>
    <t>10.1021/acs.chemmater.2c03744</t>
  </si>
  <si>
    <t>UiO-66, UiO-67 synthesis</t>
  </si>
  <si>
    <t>10.1021/acs.chemmater.7b03096</t>
  </si>
  <si>
    <t>flow synthesis experiment</t>
  </si>
  <si>
    <t>Total Reflectance Infrared Spectroscopy</t>
  </si>
  <si>
    <t>in situ</t>
  </si>
  <si>
    <t>Interfacial/continuous-flow MOF thin-film synthesis described fully.</t>
  </si>
  <si>
    <t>microfluidic/flow</t>
  </si>
  <si>
    <t>10.1021/acs.chemmater.9b01383</t>
  </si>
  <si>
    <t>UiO-66  synthesis</t>
  </si>
  <si>
    <t>10.1021/acs.chemmater.9b02322</t>
  </si>
  <si>
    <t>Zr-fumarate-MOF sample was synthesized following the previously reported method</t>
  </si>
  <si>
    <t>refers to a method reference (47)</t>
  </si>
  <si>
    <t>10.1021/acs.inorgchem.1c01229</t>
  </si>
  <si>
    <t>not mof, no porosity'</t>
  </si>
  <si>
    <t>non porous coordination polymer</t>
  </si>
  <si>
    <t>The materials are explicitly lanthanoid picolinate coordination polymers rather than qualifying MOFs.</t>
  </si>
  <si>
    <t>10.1021/acs.inorgchem.2c00014</t>
  </si>
  <si>
    <t>Porous porous metal?organic spin crossover (SCO) framework</t>
  </si>
  <si>
    <t>liquid liquid diffusion</t>
  </si>
  <si>
    <t>Layering synthesis described in prior work.</t>
  </si>
  <si>
    <t>10.1021/acs.inorgchem.2c00628</t>
  </si>
  <si>
    <t>we present the new bismuth polymeric framework MOF its microwave</t>
  </si>
  <si>
    <t>Microwave hydrothermal synthesis described fully.</t>
  </si>
  <si>
    <t>10.1021/acs.inorgchem.2c00825</t>
  </si>
  <si>
    <t>Synthesized from (TiCl3)3AlCl3 according to a reported procedure</t>
  </si>
  <si>
    <t>report MIL MOF schlenk line</t>
  </si>
  <si>
    <t>10.1021/acs.inorgchem.2c02615</t>
  </si>
  <si>
    <t>ZIF-8 was synthesized</t>
  </si>
  <si>
    <t>The ZIF-8 framework itself is formed by a solvent-free ZnO/2-methylimidazole route; the vapor step only loads ionic liquid into the preformed MOF.</t>
  </si>
  <si>
    <t>10.1021/acs.inorgchem.2c03872</t>
  </si>
  <si>
    <t>perovskite structures</t>
  </si>
  <si>
    <t>Inorganic metal complexes</t>
  </si>
  <si>
    <t>The synthesized products are discrete heterometallic alkoxide/oxo-alkoxide clusters used as oxide precursors, not MOFs.</t>
  </si>
  <si>
    <t>10.1021/acs.inorgchem.5b02108</t>
  </si>
  <si>
    <t>MFM-300(Ga2) synthesis reported</t>
  </si>
  <si>
    <t>MFM solvothermal reported</t>
  </si>
  <si>
    <t>10.1021/acs.inorgchem.7b01965</t>
  </si>
  <si>
    <t>not mof, conducting network</t>
  </si>
  <si>
    <t>bimetallic anilate-based compounds</t>
  </si>
  <si>
    <t>The products are explicitly bimetallic anilate-based coordination polymers, which are excluded by the project rubric.</t>
  </si>
  <si>
    <t>10.1021/acs.inorgchem.7b02235</t>
  </si>
  <si>
    <t>synthesis reported</t>
  </si>
  <si>
    <t>10.1021/acs.inorgchem.8b00425</t>
  </si>
  <si>
    <t>UiO-66 synthesis</t>
  </si>
  <si>
    <t>noted procedure by Biswas and co-workers</t>
  </si>
  <si>
    <t>10.1021/acs.inorgchem.8b01130</t>
  </si>
  <si>
    <t>synthesis described breifly, and called a cage but its mof enough</t>
  </si>
  <si>
    <t>Ni MOF in SI</t>
  </si>
  <si>
    <t>MOF synthesis described in SI.</t>
  </si>
  <si>
    <t>10.1021/acs.inorgchem.8b01315</t>
  </si>
  <si>
    <t>metal complex</t>
  </si>
  <si>
    <t>The paper reports a discrete dinuclear Cu complex and a 1D coordination polymer, not a qualifying MOF.</t>
  </si>
  <si>
    <t>10.1021/acs.inorgchem.9b02068</t>
  </si>
  <si>
    <t>synthesis described, has open pockets for catalysis</t>
  </si>
  <si>
    <t>CFA-1 was synthesized and activated as previously reported (SI)</t>
  </si>
  <si>
    <t>CFA-1 MOF synthesis described</t>
  </si>
  <si>
    <t>Postsynthetic MOF metal-exchange synthesis described fully.</t>
  </si>
  <si>
    <t>10.1021/acs.jchemed.9b01166</t>
  </si>
  <si>
    <t>synthesis in the SI</t>
  </si>
  <si>
    <t>claim 3 MOFs synthesis in SI</t>
  </si>
  <si>
    <t>10.1021/acs.jpcc.6b01378</t>
  </si>
  <si>
    <t>single cluster not polymeric</t>
  </si>
  <si>
    <t>Hexanuclear Amino Alcohol-Supported {CoII 2CoIII 2DyIII 2} Pivalate Cluster</t>
  </si>
  <si>
    <t>The synthesized material is a discrete hexanuclear Co/Dy cluster rather than an extended MOF.</t>
  </si>
  <si>
    <t>10.1021/acs.jpclett.1c01892</t>
  </si>
  <si>
    <t>No synthesis data</t>
  </si>
  <si>
    <t>no synthesis described</t>
  </si>
  <si>
    <t>Computational/DFT study of hypothetical or previously described MOF systems; no MOF synthesis is performed.</t>
  </si>
  <si>
    <t>10.1021/acsami.0c06080</t>
  </si>
  <si>
    <t>synthesis described in Ms</t>
  </si>
  <si>
    <t>10.1021/acsami.0c06964</t>
  </si>
  <si>
    <t>MOF PCN-333 direct mention of Park et. Al 2015</t>
  </si>
  <si>
    <t>10.1021/acsami.0c20437</t>
  </si>
  <si>
    <t>synthesis desreibed</t>
  </si>
  <si>
    <t>MOF synthesis referenced by Islamoglu et al.</t>
  </si>
  <si>
    <t>10.1021/acsami.0c22729</t>
  </si>
  <si>
    <t>in situ polymer fiber growth</t>
  </si>
  <si>
    <t>general scheme for fabricating freestanding MOF-embedded polymeric fibers</t>
  </si>
  <si>
    <t>breifly mentioned a seeding procedure</t>
  </si>
  <si>
    <t>In situ MOF growth described fully.</t>
  </si>
  <si>
    <t>10.1021/acsami.1c08833</t>
  </si>
  <si>
    <t>H shaped slow diffusion synthesis</t>
  </si>
  <si>
    <t>Synthesis described in Ms</t>
  </si>
  <si>
    <t>MTV-MOF5</t>
  </si>
  <si>
    <t>10.1021/acsami.6b05927</t>
  </si>
  <si>
    <t>porous organic polymer</t>
  </si>
  <si>
    <t>Porous Organic Polymers</t>
  </si>
  <si>
    <t>coordination polymer subclass COF</t>
  </si>
  <si>
    <t>The paper synthesizes covalent organic polymers rather than metal-organic frameworks.</t>
  </si>
  <si>
    <t>10.1021/acsami.7b02035</t>
  </si>
  <si>
    <t>seed based synthesis described with a monolyth</t>
  </si>
  <si>
    <t>report layer by layer NI-MOF-74 Lee et al.</t>
  </si>
  <si>
    <t>10.1021/acsami.9b08592</t>
  </si>
  <si>
    <t>"synthesis following the reported method"</t>
  </si>
  <si>
    <t>10.1021/acscatal.8b03228</t>
  </si>
  <si>
    <t>no synthesis desribed</t>
  </si>
  <si>
    <t>metal complex stabilized inside the MOF</t>
  </si>
  <si>
    <t>Postsynthetic MOF ion-exchange synthesis described fully.</t>
  </si>
  <si>
    <t>10.1021/acscentsci.0c00803</t>
  </si>
  <si>
    <t>perspective article</t>
  </si>
  <si>
    <t>review paper linking many synthesis applicaation in figure 3</t>
  </si>
  <si>
    <t>Outlook article on metal-oxide-cluster surface chemistry; no original MOF synthesis is performed.</t>
  </si>
  <si>
    <t>10.1021/acscentsci.7b00500</t>
  </si>
  <si>
    <t>no described synthesis, comp and app based paper</t>
  </si>
  <si>
    <t>Computational Design of Functionalized MOF</t>
  </si>
  <si>
    <t>computational study</t>
  </si>
  <si>
    <t>Outlook article on computational modeling of MOF catalysis; no original MOF synthesis is performed.</t>
  </si>
  <si>
    <t>10.1021/acsnano.5b05071</t>
  </si>
  <si>
    <t>not traditional synthesis</t>
  </si>
  <si>
    <t>AFM-assisted lithography for the synthesis of a coordination polymer</t>
  </si>
  <si>
    <t>The paper explicitly synthesizes nanoscale coordination polymers rather than qualifying MOFs.</t>
  </si>
  <si>
    <t>10.1021/acsomega.0c01759</t>
  </si>
  <si>
    <t>one step syntheiss with an @ described</t>
  </si>
  <si>
    <t>reporting of multiple MOF</t>
  </si>
  <si>
    <t>10.1021/acsomega.0c02171</t>
  </si>
  <si>
    <t>synthesis desibred, but involved blending</t>
  </si>
  <si>
    <t>MIL-100(Fe) reported</t>
  </si>
  <si>
    <t>10.1021/acsomega.0c02810</t>
  </si>
  <si>
    <t>CU-BTC reported earlier (23)</t>
  </si>
  <si>
    <t>10.1021/acsomega.0c04249</t>
  </si>
  <si>
    <t>MOF synthesis according to ref 26</t>
  </si>
  <si>
    <t>10.1021/acsomega.0c05225</t>
  </si>
  <si>
    <t>ZIF-8 synthesis according to Wu et al.</t>
  </si>
  <si>
    <t>10.1021/acsomega.1c02492</t>
  </si>
  <si>
    <t>synthesis reported in experimental section</t>
  </si>
  <si>
    <t>10.1021/acsomega.1c07077</t>
  </si>
  <si>
    <t>synthesis described, porous coordination polymer</t>
  </si>
  <si>
    <t>coordination polymer (subclass MOF)</t>
  </si>
  <si>
    <t>The products are explicitly 1D/2D coordination polymers rather than qualifying MOFs.</t>
  </si>
  <si>
    <t>10.1021/acsomega.1c07351</t>
  </si>
  <si>
    <t>complexes, but have notable pores</t>
  </si>
  <si>
    <t>10.1021/acsomega.2c00416</t>
  </si>
  <si>
    <t>MOF-5 described</t>
  </si>
  <si>
    <t>10.1021/acsomega.2c01856</t>
  </si>
  <si>
    <t>described in Methods section</t>
  </si>
  <si>
    <t>10.1021/acsomega.2c02873</t>
  </si>
  <si>
    <t>mofs bought from sigma</t>
  </si>
  <si>
    <t>MOF modification, synthesis not reported</t>
  </si>
  <si>
    <t>ZIF-8 and MOF-199 followed pervious reported in lit (45)</t>
  </si>
  <si>
    <t>Commercial MOF-199 and ZIF-8 are used as starting adsorbents and subsequently modified; no MOF framework synthesis is performed in this paper.</t>
  </si>
  <si>
    <t>PSM-only / commercial MOF</t>
  </si>
  <si>
    <t>10.1021/acsomega.2c03973</t>
  </si>
  <si>
    <t>10.1021/acsomega.3c09293</t>
  </si>
  <si>
    <t>no dessicbed synthesis</t>
  </si>
  <si>
    <t>Synthesis is missing</t>
  </si>
  <si>
    <t>10.1021/acsomega.4c05125</t>
  </si>
  <si>
    <t>little bit of synth info in text, more in figure</t>
  </si>
  <si>
    <t>In situ synthesis</t>
  </si>
  <si>
    <t>claim reported in SI</t>
  </si>
  <si>
    <t>10.1021/acsomega.5c01493</t>
  </si>
  <si>
    <t>synthesis shown in figure</t>
  </si>
  <si>
    <t>MOF-199</t>
  </si>
  <si>
    <t>Layer-by-layer MOF synthesis described fully.</t>
  </si>
  <si>
    <t>10.1021/acsomega.7b01693</t>
  </si>
  <si>
    <t>seed mediated shown in figure syntheses</t>
  </si>
  <si>
    <t>solvothermal dipected as a figure</t>
  </si>
  <si>
    <t>10.1021/acsomega.7b01792</t>
  </si>
  <si>
    <t>synthesis described but i hate it</t>
  </si>
  <si>
    <t>reflux described</t>
  </si>
  <si>
    <t>10.1021/acsomega.7b01964</t>
  </si>
  <si>
    <t>two mof synthesis described</t>
  </si>
  <si>
    <t>10.1021/acsomega.8b02309</t>
  </si>
  <si>
    <t>10.1021/acsomega.9b00236</t>
  </si>
  <si>
    <t>hydrothermal synthesis</t>
  </si>
  <si>
    <t>10.1021/acsomega.9b01108</t>
  </si>
  <si>
    <t>Synthesis described mixed linker MOFs</t>
  </si>
  <si>
    <t>MOF synthesis described</t>
  </si>
  <si>
    <t>The paper explicitly reports a series of cadmium coordination polymers; coordination polymers are excluded by the project rubric.</t>
  </si>
  <si>
    <t>10.1021/acsomega.9b01139</t>
  </si>
  <si>
    <t>synthesised according to reported procedure (27)</t>
  </si>
  <si>
    <t>10.1021/acsomega.9b02035</t>
  </si>
  <si>
    <t>modified UiO-67 described</t>
  </si>
  <si>
    <t>10.1021/acsomega.9b02779</t>
  </si>
  <si>
    <t>complexes, not porous</t>
  </si>
  <si>
    <t>Metal complex</t>
  </si>
  <si>
    <t>The synthesized Cu/Zn/Cd products are discrete molecular complexes rather than extended MOFs.</t>
  </si>
  <si>
    <t>10.1021/acssensors.7b00762</t>
  </si>
  <si>
    <t>in situ growth</t>
  </si>
  <si>
    <t>MOF coating</t>
  </si>
  <si>
    <t>ZIF-8 synthesis not mentioned</t>
  </si>
  <si>
    <t>In situ MOF coating synthesis described fully.</t>
  </si>
  <si>
    <t>manual override: majority wins; lone Y was unsupported assertion</t>
  </si>
  <si>
    <t>10.1021/acssuschemeng.0c05587</t>
  </si>
  <si>
    <t>syntheis descirbed</t>
  </si>
  <si>
    <t>Synthesis described_green synthesis</t>
  </si>
  <si>
    <t>10.1021/acssuschemeng.1c01138</t>
  </si>
  <si>
    <t>The paper develops polymer-supported fluoride catalysts for cyanosilylation; no MOF synthesis is performed.</t>
  </si>
  <si>
    <t>10.1021/acssuschemeng.5b00544</t>
  </si>
  <si>
    <t>not mof polymer pased</t>
  </si>
  <si>
    <t>Polymer</t>
  </si>
  <si>
    <t>polymer</t>
  </si>
  <si>
    <t>The paper synthesizes porous organic polymers for CO2 capture, not metal-organic frameworks.</t>
  </si>
  <si>
    <t>10.1021/cg500162x</t>
  </si>
  <si>
    <t>described in synthesis section</t>
  </si>
  <si>
    <t>3D porous coordination framework synthesis described fully.</t>
  </si>
  <si>
    <t>10.1021/cm3025445</t>
  </si>
  <si>
    <t>CAU-10 functional group synthesis</t>
  </si>
  <si>
    <t>CAU-10 said to be described in SI</t>
  </si>
  <si>
    <t>10.1021/cs401189a</t>
  </si>
  <si>
    <t>Synthesis described fully and in prior work.</t>
  </si>
  <si>
    <t>10.1021/cs500259b</t>
  </si>
  <si>
    <t>reported procdure by Yaghi and Roswell in SI</t>
  </si>
  <si>
    <t>10.1021/ic8007798</t>
  </si>
  <si>
    <t>ionothermally synthesized</t>
  </si>
  <si>
    <t>ionothermal mentioned in reference</t>
  </si>
  <si>
    <t>Ionothermal MOF synthesis described fully.</t>
  </si>
  <si>
    <t>10.1021/ic900796n</t>
  </si>
  <si>
    <t>post-synthetic modification described</t>
  </si>
  <si>
    <t>Synthesis described in Main text</t>
  </si>
  <si>
    <t>Synthesis described in prior work; postsynthetic modification described fully.</t>
  </si>
  <si>
    <t>10.1021/ja0734952</t>
  </si>
  <si>
    <t>synthesis described in the Ms</t>
  </si>
  <si>
    <t>3D porous framework synthesis described fully.</t>
  </si>
  <si>
    <t>10.1021/ja2118255</t>
  </si>
  <si>
    <t>10.1021/ja405350u</t>
  </si>
  <si>
    <t>synthesis described in the SI</t>
  </si>
  <si>
    <t>10.1021/ja407176p</t>
  </si>
  <si>
    <t>UiO-66 solvothermal in SI</t>
  </si>
  <si>
    <t>Postsynthetic exchange MOF synthesis described fully.</t>
  </si>
  <si>
    <t>10.1021/ja501606h</t>
  </si>
  <si>
    <t>Yaghi paper with MOF-519 described</t>
  </si>
  <si>
    <t>10.1021/ja508626n</t>
  </si>
  <si>
    <t>syntheis in SI</t>
  </si>
  <si>
    <t>NU-1000 reprted as solvothermal</t>
  </si>
  <si>
    <t>10.1021/ja5094309</t>
  </si>
  <si>
    <t>not mof at all</t>
  </si>
  <si>
    <t>The study concerns ligand-controlled silver catalysts for C-H amination; no MOF synthesis is performed.</t>
  </si>
  <si>
    <t>10.1021/jacs.0c07525</t>
  </si>
  <si>
    <t>SU-101</t>
  </si>
  <si>
    <t>Ambient-condition MOF synthesis described fully.</t>
  </si>
  <si>
    <t>10.1021/jacs.1c02272</t>
  </si>
  <si>
    <t>ZIF-8 synthesis described</t>
  </si>
  <si>
    <t>One-pot MOF synthesis described fully.</t>
  </si>
  <si>
    <t>10.1021/jacs.1c05051</t>
  </si>
  <si>
    <t>no traditional mof synthesis</t>
  </si>
  <si>
    <t>2D conjugated MOF</t>
  </si>
  <si>
    <t>sythesis reported in SI synthesis of MOF film (layer by layer)</t>
  </si>
  <si>
    <t>Interfacial MOF film synthesis described fully.</t>
  </si>
  <si>
    <t>10.1021/jacs.1c05363</t>
  </si>
  <si>
    <t>simple synthesis described</t>
  </si>
  <si>
    <t>Synthesis reported in SI</t>
  </si>
  <si>
    <t>MOF particle synthesis described fully.</t>
  </si>
  <si>
    <t>10.1021/jacs.2c09007</t>
  </si>
  <si>
    <t>not mof no pores</t>
  </si>
  <si>
    <t>Polymer film</t>
  </si>
  <si>
    <t>The target is a 2D coordination-polymer film produced by solvent-free chemical vapor deposition; both the material class and synthesis route are excluded by the rubric.</t>
  </si>
  <si>
    <t>10.1021/jacs.3c05819</t>
  </si>
  <si>
    <t>hey this one is firmiliar</t>
  </si>
  <si>
    <t>No synthesis reported</t>
  </si>
  <si>
    <t>Zach's paper</t>
  </si>
  <si>
    <t>Text-mining and machine-learning study of literature MOF synthesis conditions; no MOF synthesis is performed in this paper.</t>
  </si>
  <si>
    <t>10.1021/jacs.5b06929</t>
  </si>
  <si>
    <t>ZMOF reported in SI</t>
  </si>
  <si>
    <t>10.1021/jacs.7b09983</t>
  </si>
  <si>
    <t>synthesis sdescribe</t>
  </si>
  <si>
    <t>reflux reported for racemic synthesis of MOF</t>
  </si>
  <si>
    <t>10.1021/jacs.8b05780</t>
  </si>
  <si>
    <t>PCN-81 described in SI</t>
  </si>
  <si>
    <t>The synthesized materials are discrete porous coordination cages rather than extended metal-organic frameworks.</t>
  </si>
  <si>
    <t>non-MOF (cage/complex/other framework)</t>
  </si>
  <si>
    <t>10.1021/jacs.9b03643</t>
  </si>
  <si>
    <t>synthesis descriebd</t>
  </si>
  <si>
    <t>followed procedure from Wu et al. (29)</t>
  </si>
  <si>
    <t>Synthesis described in prior work and experimental section.</t>
  </si>
  <si>
    <t>10.1021/jacs.9b04915</t>
  </si>
  <si>
    <t>MUV-11</t>
  </si>
  <si>
    <t>10.1021/jacs.9b05035</t>
  </si>
  <si>
    <t>electrochem not solvothermal</t>
  </si>
  <si>
    <t>Electrochemical MOF synthesis described fully.</t>
  </si>
  <si>
    <t>10.1039/c0ce00530d</t>
  </si>
  <si>
    <t>solvothermal synthesis mentioned with citation</t>
  </si>
  <si>
    <t>10.1039/c1ce05196b</t>
  </si>
  <si>
    <t>ms synthesis</t>
  </si>
  <si>
    <t>solovthermal described</t>
  </si>
  <si>
    <t>10.1039/c1jm10947b</t>
  </si>
  <si>
    <t>described in main text</t>
  </si>
  <si>
    <t>10.1039/c1ra00164g</t>
  </si>
  <si>
    <t>followed procedure for ZIF-20 ref (18 and described in main text</t>
  </si>
  <si>
    <t>10.1039/c2ce06382d</t>
  </si>
  <si>
    <t>sonocrystalized</t>
  </si>
  <si>
    <t>ZIF synthesis followed solvothermal referenced (26-27) also described in main text</t>
  </si>
  <si>
    <t>Conventional solvothermal comparison synthesis described fully.</t>
  </si>
  <si>
    <t>10.1039/c2ce06563k</t>
  </si>
  <si>
    <t>described as hydrothermal</t>
  </si>
  <si>
    <t>Hydrothermal synthesis described fully.</t>
  </si>
  <si>
    <t>10.1039/c2ce26436f</t>
  </si>
  <si>
    <t>MIL-100 synthesis in main text</t>
  </si>
  <si>
    <t>10.1039/c2jm15675j</t>
  </si>
  <si>
    <t>feature article we survey the burgeoning field of nanoscale MOF synthesis</t>
  </si>
  <si>
    <t>perspective paper</t>
  </si>
  <si>
    <t>Feature/review article surveying synthetic routes to MOF nanomorphologies; no original MOF synthesis is performed.</t>
  </si>
  <si>
    <t>10.1039/c2ra22550f</t>
  </si>
  <si>
    <t>porous 2D network</t>
  </si>
  <si>
    <t>MOF-1 synthesis in SI</t>
  </si>
  <si>
    <t>10.1039/c3ta11483j</t>
  </si>
  <si>
    <t>ZIF synthesis described</t>
  </si>
  <si>
    <t>Secondary-growth MOF membrane synthesis described fully.</t>
  </si>
  <si>
    <t>10.1039/c3ta11604b</t>
  </si>
  <si>
    <t>non traditonal, naybe not mpf</t>
  </si>
  <si>
    <t>MOF membrane</t>
  </si>
  <si>
    <t>membraine layer described not MOF</t>
  </si>
  <si>
    <t>Direct MOF membrane synthesis described fully.</t>
  </si>
  <si>
    <t>manual override: majority (MOF membrane = film-only) wins over weak generic cue</t>
  </si>
  <si>
    <t>10.1039/c5cc04928h</t>
  </si>
  <si>
    <t>solvothermal described for TCM-9</t>
  </si>
  <si>
    <t>10.1039/c5ce02091c</t>
  </si>
  <si>
    <t>coordinatation polymer (subclass MOF)</t>
  </si>
  <si>
    <t>The products are explicitly coordination polymers; these are excluded from the MOF-positive class by the project rubric.</t>
  </si>
  <si>
    <t>10.1039/c5ce02094h</t>
  </si>
  <si>
    <t>new 3D coordination polymer, {[Co??2-H2O)?bdc)?H2O)?dmf)]�0.5H2O}n</t>
  </si>
  <si>
    <t>reported procedure (54)</t>
  </si>
  <si>
    <t>MOF-71 is generated only by vacuum-induced desolvation of a coordination polymer; vacuum-driven framework formation is excluded by the rubric.</t>
  </si>
  <si>
    <t>10.1039/c5ce02462e</t>
  </si>
  <si>
    <t>electronchem synthesis in SI</t>
  </si>
  <si>
    <t>electrochemical synthesis of MOF</t>
  </si>
  <si>
    <t>Synthesis of MOF in SI</t>
  </si>
  <si>
    <t>10.1039/c5dt00521c</t>
  </si>
  <si>
    <t>solvothermal described in  parts</t>
  </si>
  <si>
    <t>The products are explicitly 1D coordination polymers synthesized via a supercritical-CO2 route; they are excluded by the project rubric.</t>
  </si>
  <si>
    <t>10.1039/c5dt02276b</t>
  </si>
  <si>
    <t>DUT-5 described in SI</t>
  </si>
  <si>
    <t>10.1039/c5dt03344f</t>
  </si>
  <si>
    <t>complexes not MOFS</t>
  </si>
  <si>
    <t>heterometallic complexes</t>
  </si>
  <si>
    <t>The paper synthesizes discrete Cu/Zn heterometallic complexes rather than extended MOFs.</t>
  </si>
  <si>
    <t>10.1039/c5ra25238e</t>
  </si>
  <si>
    <t>In situ MOF-polymer composite synthesis described fully.</t>
  </si>
  <si>
    <t>10.1039/c6an02344d</t>
  </si>
  <si>
    <t>no syntheis of mof discussed</t>
  </si>
  <si>
    <t>Composite particles containing the Zr-based metal�organic framework (MOF) UiO-66 were prepared using microwave-assisted solvothermal synthesis</t>
  </si>
  <si>
    <t>just MOFsilica particle sysnthesis</t>
  </si>
  <si>
    <t>Microwave-assisted MOF synthesis described fully.</t>
  </si>
  <si>
    <t>10.1039/c6cc05154e</t>
  </si>
  <si>
    <t>Synthesis of a 2D-layered metal�organic framework is described</t>
  </si>
  <si>
    <t>Solvothermal MOF synthesis described in SI.</t>
  </si>
  <si>
    <t>10.1039/c6cc07094a</t>
  </si>
  <si>
    <t>Feature article</t>
  </si>
  <si>
    <t>perspective no synthesis</t>
  </si>
  <si>
    <t>Feature/review article on alternative synthetic approaches for MOFs; no original MOF synthesis is performed.</t>
  </si>
  <si>
    <t>10.1039/c6ce00658b</t>
  </si>
  <si>
    <t>electrochemica deposition</t>
  </si>
  <si>
    <t>synthesis of MOF not described</t>
  </si>
  <si>
    <t>Electrochemical HKUST-1 synthesis described fully.</t>
  </si>
  <si>
    <t>10.1039/c6ce01513a</t>
  </si>
  <si>
    <t>DUT-63 noted in main</t>
  </si>
  <si>
    <t>10.1039/c6ce01842d</t>
  </si>
  <si>
    <t>thiol-modified version of the porous metal organic framework MIL-53 is synthesised</t>
  </si>
  <si>
    <t>MIL-53 described</t>
  </si>
  <si>
    <t>10.1039/c6cp07801j</t>
  </si>
  <si>
    <t>Mixed linker UiO- 66 synthesis</t>
  </si>
  <si>
    <t>modified UiO-66 described</t>
  </si>
  <si>
    <t>Mixed-linker UiO-66 synthesis described fully.</t>
  </si>
  <si>
    <t>10.1039/c6ra25156k</t>
  </si>
  <si>
    <t>POMs</t>
  </si>
  <si>
    <t>The products are Keggin-based Cu coordination/POM compounds rather than qualifying porous MOFs.</t>
  </si>
  <si>
    <t>10.1039/c6ra25396b</t>
  </si>
  <si>
    <t>MIL-101 described</t>
  </si>
  <si>
    <t>Synthesis described in prior work and optimized in this paper.</t>
  </si>
  <si>
    <t>10.1039/c6ra25481k</t>
  </si>
  <si>
    <t>Composite</t>
  </si>
  <si>
    <t>The paper synthesizes hyper-crosslinked microporous organic polymers, not metal-organic frameworks.</t>
  </si>
  <si>
    <t>10.1039/c6ra25820d</t>
  </si>
  <si>
    <t>Core Shell MOF</t>
  </si>
  <si>
    <t>core shells synthesis described</t>
  </si>
  <si>
    <t>MOF shell synthesis described fully.</t>
  </si>
  <si>
    <t>10.1039/c6ra26642h</t>
  </si>
  <si>
    <t>The products are explicitly porous coordination polymers; coordination polymers are excluded by the project rubric.</t>
  </si>
  <si>
    <t>10.1039/c6ra26646k</t>
  </si>
  <si>
    <t>electrochem</t>
  </si>
  <si>
    <t>Electrochemical synthesis</t>
  </si>
  <si>
    <t>synthesis not described</t>
  </si>
  <si>
    <t>Rapid electrochemical HKUST-1 synthesis described fully.</t>
  </si>
  <si>
    <t>10.1039/c6ra26855b</t>
  </si>
  <si>
    <t>section 2.2 has synthesis</t>
  </si>
  <si>
    <t>10.1039/c6ra26966d</t>
  </si>
  <si>
    <t>Non-porous coordination polymer</t>
  </si>
  <si>
    <t>The paper reports six coordination compounds with 0D–3D structures rather than qualifying porous MOFs.</t>
  </si>
  <si>
    <t>10.1039/c6ra27069g</t>
  </si>
  <si>
    <t>10.1039/c6ra27509e</t>
  </si>
  <si>
    <t>The products are explicitly luminescent coordination polymers; coordination polymers are excluded by the project rubric.</t>
  </si>
  <si>
    <t>10.1039/c6ra28124a</t>
  </si>
  <si>
    <t>deposition based</t>
  </si>
  <si>
    <t>MOF composite</t>
  </si>
  <si>
    <t>synthesis noted in the table 4</t>
  </si>
  <si>
    <t>Layer-by-layer seeding and solvothermal Cu-BTC growth described fully.</t>
  </si>
  <si>
    <t>10.1039/c6ra28361f</t>
  </si>
  <si>
    <t>dipping based synthesis</t>
  </si>
  <si>
    <t>Synthesisis described in the Ms</t>
  </si>
  <si>
    <t>ZIF described and link referenced</t>
  </si>
  <si>
    <t>Solution-phase ZIF-8 thin-film synthesis described fully.</t>
  </si>
  <si>
    <t>10.1039/c6ra28833b</t>
  </si>
  <si>
    <t>Microporous polymer</t>
  </si>
  <si>
    <t>MOP</t>
  </si>
  <si>
    <t>The paper synthesizes microporous organic polymers by Suzuki coupling, not MOFs.</t>
  </si>
  <si>
    <t>10.1039/c6sc01412g</t>
  </si>
  <si>
    <t>2D open framework material</t>
  </si>
  <si>
    <t>COF</t>
  </si>
  <si>
    <t>Computational design study of two-dimensional organic networks; no MOF synthesis is performed.</t>
  </si>
  <si>
    <t>10.1039/c6sc02272c</t>
  </si>
  <si>
    <t>MOF-5 synthesis reported in SI</t>
  </si>
  <si>
    <t>Solvothermal MOF nanosheet synthesis described fully.</t>
  </si>
  <si>
    <t>10.1039/c6sc04357g</t>
  </si>
  <si>
    <t>Zr-MOFs synthesis in main</t>
  </si>
  <si>
    <t>10.1039/c6sc05079d</t>
  </si>
  <si>
    <t>The paper synthesizes Brønsted-acidic porous organic polymers, not metal-organic frameworks.</t>
  </si>
  <si>
    <t>10.1039/c6tc03496a</t>
  </si>
  <si>
    <t>coating</t>
  </si>
  <si>
    <t>HKUST-1 layer by layer</t>
  </si>
  <si>
    <t>Electrochemical HKUST-1 coating synthesis described fully.</t>
  </si>
  <si>
    <t>10.1039/c7ra00115k</t>
  </si>
  <si>
    <t>HKUST-1</t>
  </si>
  <si>
    <t>HKUST-1 synthesis described fully.</t>
  </si>
  <si>
    <t>10.1039/c7ra00337d</t>
  </si>
  <si>
    <t>nonporous polymer</t>
  </si>
  <si>
    <t>Dense coordination polymer</t>
  </si>
  <si>
    <t>coordination polymer (CCP)</t>
  </si>
  <si>
    <t>The products are explicitly Zn(II) coordination-polymer enantiomers, which are excluded by the project rubric.</t>
  </si>
  <si>
    <t>10.1039/c7ra01125c</t>
  </si>
  <si>
    <t>MOF synthesis in main</t>
  </si>
  <si>
    <t>10.1039/c7ra01647f</t>
  </si>
  <si>
    <t>PCN-222 synthesis described fully.</t>
  </si>
  <si>
    <t>10.1039/c7ra02063e</t>
  </si>
  <si>
    <t>coordination polymers (subclass MOFs)</t>
  </si>
  <si>
    <t>The products are explicitly 2D and 3D coordination polymers rather than qualifying MOFs.</t>
  </si>
  <si>
    <t>10.1039/c7ra02802d</t>
  </si>
  <si>
    <t>solvothermal referenced Latroche et al. MIL-68</t>
  </si>
  <si>
    <t>10.1039/c7ra03162a</t>
  </si>
  <si>
    <t>referenced in the table 2</t>
  </si>
  <si>
    <t>MOF precursor synthesis described fully.</t>
  </si>
  <si>
    <t>10.1039/c7ra04771a</t>
  </si>
  <si>
    <t>described in SI</t>
  </si>
  <si>
    <t>POM-based MOF synthesis described fully.</t>
  </si>
  <si>
    <t>10.1039/c7ra04820c</t>
  </si>
  <si>
    <t>synthesis in main 2.3</t>
  </si>
  <si>
    <t>Mixed-ligand Cu-MOF synthesis described fully.</t>
  </si>
  <si>
    <t>10.1039/c7ra05049f</t>
  </si>
  <si>
    <t>The products are supramolecular/coordination-polymer isomers; the open framework shows negligible N2 uptake and loses crystallinity on activation.</t>
  </si>
  <si>
    <t>10.1039/c7ra05863b</t>
  </si>
  <si>
    <t>Not usual MOF_Co/ZIF-8@silicalite-1 catalysts</t>
  </si>
  <si>
    <t>ZIF-8 described and referenced</t>
  </si>
  <si>
    <t>MOF precursor synthesis described in prior work.</t>
  </si>
  <si>
    <t>10.1039/c7ra07089f</t>
  </si>
  <si>
    <t>Synthesis is described in Ms (coordination polymer)</t>
  </si>
  <si>
    <t>The paper explicitly reports five Co(II) coordination polymers; coordination polymers are excluded by the project rubric.</t>
  </si>
  <si>
    <t>10.1039/c7ra08354h</t>
  </si>
  <si>
    <t>Synthesis describe in Ms</t>
  </si>
  <si>
    <t>synthesis of Zn based MOF 2.3</t>
  </si>
  <si>
    <t>10.1039/c7ra08433a</t>
  </si>
  <si>
    <t>The products are Zn(II) coordination-polymer enantiomers rather than qualifying MOFs.</t>
  </si>
  <si>
    <t>10.1039/c7ra08798e</t>
  </si>
  <si>
    <t>Cu-BTC synthesis reported</t>
  </si>
  <si>
    <t>Parent MOF synthesis described in prior work.</t>
  </si>
  <si>
    <t>10.1039/c7ra09429a</t>
  </si>
  <si>
    <t>10.1039/c7ra09772g</t>
  </si>
  <si>
    <t>ball milling</t>
  </si>
  <si>
    <t>Ball-milling synthesis</t>
  </si>
  <si>
    <t>The Cu2(BDC)2(BPY) MOF is produced by ball-milling; mechanochemical framework formation is excluded by the project rubric.</t>
  </si>
  <si>
    <t>10.1039/c7ra10034e</t>
  </si>
  <si>
    <t>Cd-MOF and previously reported</t>
  </si>
  <si>
    <t>Hydrothermal Cd-MOF synthesis described fully.</t>
  </si>
  <si>
    <t>10.1039/c7ra10507j</t>
  </si>
  <si>
    <t>mof synthesis with embedded np</t>
  </si>
  <si>
    <t>not MOF related</t>
  </si>
  <si>
    <t>not MOF synthesis described</t>
  </si>
  <si>
    <t>The synthesized material is functionalized fibrous silica with a supported Au catalyst; no genuine MOF synthesis is performed.</t>
  </si>
  <si>
    <t>manual override: majority wins; lone Y outvoted, even old GT/models agree N</t>
  </si>
  <si>
    <t>10.1039/c7ra10541j</t>
  </si>
  <si>
    <t>The study concerns graphene-enhanced Pt-catalyzed hydrosilylation; no MOF synthesis is performed.</t>
  </si>
  <si>
    <t>10.1039/c7ra10855a</t>
  </si>
  <si>
    <t>synthesis</t>
  </si>
  <si>
    <t>The products are explicitly cadmium coordination polymers, which are excluded by the project rubric.</t>
  </si>
  <si>
    <t>10.1039/c7ra12010a</t>
  </si>
  <si>
    <t>synthesis of CU-MOF-74</t>
  </si>
  <si>
    <t>Cu-MOF-74 synthesis described fully.</t>
  </si>
  <si>
    <t>10.1039/c7ra12136a</t>
  </si>
  <si>
    <t>Co-MOF-1 in SI</t>
  </si>
  <si>
    <t>Cobalt-based MOF synthesis described fully.</t>
  </si>
  <si>
    <t>10.1039/c7ra12969f</t>
  </si>
  <si>
    <t>DOX incorperation method only</t>
  </si>
  <si>
    <t>10.1039/c7ra13245j</t>
  </si>
  <si>
    <t>cited synthesis</t>
  </si>
  <si>
    <t>list references to multiple MOFs</t>
  </si>
  <si>
    <t>10.1039/c7sc01765k</t>
  </si>
  <si>
    <t>nMOF reported in SI</t>
  </si>
  <si>
    <t>UiO-68 NMOF synthesis described fully.</t>
  </si>
  <si>
    <t>10.1039/c7sc04192f</t>
  </si>
  <si>
    <t>NKU-112 solvothermal</t>
  </si>
  <si>
    <t>10.1039/c7sc05020h</t>
  </si>
  <si>
    <t>Computational work</t>
  </si>
  <si>
    <t>compuational study no synthesis</t>
  </si>
  <si>
    <t>Periodic DFT/computational study of metal pentazolate frameworks; no MOF synthesis is performed.</t>
  </si>
  <si>
    <t>10.1039/c7tc04006g</t>
  </si>
  <si>
    <t>Layred coordination network</t>
  </si>
  <si>
    <t>REE low deimensional MOF</t>
  </si>
  <si>
    <t>The products are rare-earth coordination networks without convincing permanent porosity; coordination networks/polymers are excluded by the rubric.</t>
  </si>
  <si>
    <t>10.1039/c8cc04326d</t>
  </si>
  <si>
    <t>synth talked about but not detailed</t>
  </si>
  <si>
    <t>ZIF synthesis described in SI</t>
  </si>
  <si>
    <t>MOF synthesis described fully.</t>
  </si>
  <si>
    <t>10.1039/c8ce00891d</t>
  </si>
  <si>
    <t>synth in si</t>
  </si>
  <si>
    <t>The product is explicitly a nonporous MIL-53-type coordination polymer, which is excluded by the project rubric.</t>
  </si>
  <si>
    <t>10.1039/c8ce01264d</t>
  </si>
  <si>
    <t>refered to specific MOF synthesis in reference Marshall et al.</t>
  </si>
  <si>
    <t>Cu3HHTP2 MOF synthesis described fully.</t>
  </si>
  <si>
    <t>10.1039/c8dt03030h</t>
  </si>
  <si>
    <t>coordination cluster</t>
  </si>
  <si>
    <t>Paddlewheel not MOF</t>
  </si>
  <si>
    <t>The products are a cobalt paddlewheel dimer and a heptanuclear coordination cluster, not extended MOFs.</t>
  </si>
  <si>
    <t>10.1039/c8dt05153d</t>
  </si>
  <si>
    <t>Review article on dysprosium metallofullerenes; no MOF synthesis is performed.</t>
  </si>
  <si>
    <t>10.1039/c8qm00527c</t>
  </si>
  <si>
    <t>non traditional</t>
  </si>
  <si>
    <t>Surface mounted MOFs</t>
  </si>
  <si>
    <t>no MOF synthesis described</t>
  </si>
  <si>
    <t>Layer-by-layer surMOF synthesis described fully.</t>
  </si>
  <si>
    <t>10.1039/c8ra02389a</t>
  </si>
  <si>
    <t>Synthesis section 2.1 main</t>
  </si>
  <si>
    <t>10.1039/c8ra03459a</t>
  </si>
  <si>
    <t>syntehsis of ZIF-8 described</t>
  </si>
  <si>
    <t>ZIF-8 synthesis described fully.</t>
  </si>
  <si>
    <t>10.1039/c8ra03659d</t>
  </si>
  <si>
    <t>MIL-101 described also referenced Ferey et al.</t>
  </si>
  <si>
    <t>MIL-101(Cr) synthesis described fully.</t>
  </si>
  <si>
    <t>10.1039/c8ra05459b</t>
  </si>
  <si>
    <t>simple ms synthesis</t>
  </si>
  <si>
    <t>10.1039/c8ra06043f</t>
  </si>
  <si>
    <t>solvothermal described in main</t>
  </si>
  <si>
    <t>Calcium-based MOF synthesis described fully.</t>
  </si>
  <si>
    <t>10.1039/c8ra06819d</t>
  </si>
  <si>
    <t>NOT MOF</t>
  </si>
  <si>
    <t>Not related to MOF</t>
  </si>
  <si>
    <t>The paper synthesizes plant-extract-derived nanoparticles for A3 coupling; no MOF synthesis is performed.</t>
  </si>
  <si>
    <t>10.1039/c8ra07774f</t>
  </si>
  <si>
    <t>also reference a synthesis protocol and describe</t>
  </si>
  <si>
    <t>Cu-BTC synthesis described fully.</t>
  </si>
  <si>
    <t>10.1039/c8ra08486f</t>
  </si>
  <si>
    <t>synthesis in main</t>
  </si>
  <si>
    <t>Hydrothermal MOF synthesis described fully.</t>
  </si>
  <si>
    <t>10.1039/c8ra09207a</t>
  </si>
  <si>
    <t>The products are lanthanide coordination complexes with 1D/2D coordination structures and only supramolecular 3D assembly, not MOFs.</t>
  </si>
  <si>
    <t>10.1039/c8ra10475a</t>
  </si>
  <si>
    <t>Homogeneous triethylamine/tetrabutylammonium bromide catalytic system; no MOF synthesis is performed.</t>
  </si>
  <si>
    <t>10.1039/c8sc01439f</t>
  </si>
  <si>
    <t>Pillar-layer MOF synthesis described in SI.</t>
  </si>
  <si>
    <t>10.1039/c8sc04372h</t>
  </si>
  <si>
    <t>referenced procedures</t>
  </si>
  <si>
    <t>10.1039/c8ta10610j</t>
  </si>
  <si>
    <t>solvothermal mentioned in Main</t>
  </si>
  <si>
    <t>10.1039/c8ta11722e</t>
  </si>
  <si>
    <t>cof</t>
  </si>
  <si>
    <t>Covalent triazine framework</t>
  </si>
  <si>
    <t>The material is a covalent triazine framework, an organic/covalent framework rather than a MOF.</t>
  </si>
  <si>
    <t>10.1039/c9cc06258k</t>
  </si>
  <si>
    <t>metal oxide</t>
  </si>
  <si>
    <t>Metal oxide</t>
  </si>
  <si>
    <t>Feature/review article on mixed-metal precursors for complex metal oxides; no original MOF synthesis is performed.</t>
  </si>
  <si>
    <t>10.1039/c9ce00757a</t>
  </si>
  <si>
    <t>ZIF synthesis</t>
  </si>
  <si>
    <t>ZIF-8 synthesis</t>
  </si>
  <si>
    <t>10.1039/c9ce01644a</t>
  </si>
  <si>
    <t>thin film</t>
  </si>
  <si>
    <t>Synthesis of MIL-53 thin films</t>
  </si>
  <si>
    <t>report a pervious protocol</t>
  </si>
  <si>
    <t>Vapour-assisted MOF thin-film synthesis described fully.</t>
  </si>
  <si>
    <t>10.1039/c9gc00783k</t>
  </si>
  <si>
    <t>Syntheisis described in Ms</t>
  </si>
  <si>
    <t>Table describing synthesis conditions for solvothermal</t>
  </si>
  <si>
    <t>Room-temperature ZIF-94 synthesis described fully.</t>
  </si>
  <si>
    <t>10.1039/c9gc02375e</t>
  </si>
  <si>
    <t>microwave synth</t>
  </si>
  <si>
    <t>Microwave synthesis of MOF</t>
  </si>
  <si>
    <t>MFM-300 described</t>
  </si>
  <si>
    <t>10.1039/c9gc04040d</t>
  </si>
  <si>
    <t>3d prous mgo cubes?</t>
  </si>
  <si>
    <t>The paper synthesizes MgO–Ag hybrid nanocatalysts, not a metal–organic framework.</t>
  </si>
  <si>
    <t>majority vote (3-0)</t>
  </si>
  <si>
    <t>10.1039/c9na00254e</t>
  </si>
  <si>
    <t>HKUST-1 thin films</t>
  </si>
  <si>
    <t>HKUST-1 described</t>
  </si>
  <si>
    <t>Nanoconfined HKUST-1 synthesis described fully.</t>
  </si>
  <si>
    <t>10.1039/c9na00350a</t>
  </si>
  <si>
    <t>Room-temperature rapid MOF synthesis described fully.</t>
  </si>
  <si>
    <t>10.1039/c9na00353c</t>
  </si>
  <si>
    <t>Porous liquid not MOF</t>
  </si>
  <si>
    <t>The material is a solvent-free porous liquid based on hollow silica nanorod–polymer surfactant conjugates, not a MOF.</t>
  </si>
  <si>
    <t>10.1039/c9qm00527g</t>
  </si>
  <si>
    <t>not traditional synth</t>
  </si>
  <si>
    <t>HHTP synthesis</t>
  </si>
  <si>
    <t>Solid–solid interfacial MOF synthesis described fully.</t>
  </si>
  <si>
    <t>10.1039/c9ra01012b</t>
  </si>
  <si>
    <t>synth in picture</t>
  </si>
  <si>
    <t>IRMOF-3 described</t>
  </si>
  <si>
    <t>10.1039/c9ra01071h</t>
  </si>
  <si>
    <t>hydrothermal following pervious reports</t>
  </si>
  <si>
    <t>10.1039/c9ra01408j</t>
  </si>
  <si>
    <t>MIL-101 described 2.2.1</t>
  </si>
  <si>
    <t>10.1039/c9ra03310f</t>
  </si>
  <si>
    <t>Solvothermal MOF/composite synthesis described fully.</t>
  </si>
  <si>
    <t>10.1039/c9ra05167h</t>
  </si>
  <si>
    <t>10.1039/c9ra06591a</t>
  </si>
  <si>
    <t>ZIF-8 described</t>
  </si>
  <si>
    <t>10.1039/c9ra06984d</t>
  </si>
  <si>
    <t>Synthesis described in prior work; postsynthetic MOF functionalization described fully.</t>
  </si>
  <si>
    <t>10.1039/c9ra07737e</t>
  </si>
  <si>
    <t>Coordination polymer non porous</t>
  </si>
  <si>
    <t>The products are explicitly cobalt coordination polymers; coordination polymers are excluded by the project rubric.</t>
  </si>
  <si>
    <t>10.1039/c9ra08097j</t>
  </si>
  <si>
    <t>10.1039/c9ra08659e</t>
  </si>
  <si>
    <t>not porous</t>
  </si>
  <si>
    <t>The products are explicitly coordination polymers rather than qualifying MOFs.</t>
  </si>
  <si>
    <t>10.1039/c9ra10111j</t>
  </si>
  <si>
    <t>Cu-MOF described and referenced</t>
  </si>
  <si>
    <t>10.1039/c9ra10548d</t>
  </si>
  <si>
    <t>synth in citation</t>
  </si>
  <si>
    <t>Hydrothermal ZIF-8 synthesis described fully.</t>
  </si>
  <si>
    <t>10.1039/c9ra10848c</t>
  </si>
  <si>
    <t>The paper concerns Mg3N2-assisted organic synthesis of imidazopyridines; no MOF synthesis is performed.</t>
  </si>
  <si>
    <t>10.1039/c9sc00178f</t>
  </si>
  <si>
    <t>synthesis of BUT-101 in SI</t>
  </si>
  <si>
    <t>One-pot in situ MOF synthesis described fully and in SI.</t>
  </si>
  <si>
    <t>10.1039/c9sc01301f</t>
  </si>
  <si>
    <t>synthesis under preparation and structure section</t>
  </si>
  <si>
    <t>10.1039/c9sc02576f</t>
  </si>
  <si>
    <t>post-synthetic covalent surface modification on a non-functionalizable MOF surface</t>
  </si>
  <si>
    <t>multiple synthesis described in SI</t>
  </si>
  <si>
    <t>Synthesis described in prior work and SI.</t>
  </si>
  <si>
    <t>10.1039/c9sc03802g</t>
  </si>
  <si>
    <t>not synth</t>
  </si>
  <si>
    <t>table 1 referenced synthetic papers</t>
  </si>
  <si>
    <t>Perspective article comparing nano-MOF synthesis strategies; no original MOF synthesis is performed.</t>
  </si>
  <si>
    <t>10.1039/c9sc03816g</t>
  </si>
  <si>
    <t>layerd Mofs</t>
  </si>
  <si>
    <t>First-principles/computational study of hypothetical 2D MOFs; no MOF synthesis is performed.</t>
  </si>
  <si>
    <t>10.1039/c9sc04141a</t>
  </si>
  <si>
    <t>thin film in citation</t>
  </si>
  <si>
    <t>electrochemical conversion of metal�organic frameworks</t>
  </si>
  <si>
    <t>Repeated solution-deposition growth of ZIF-67 films described fully.</t>
  </si>
  <si>
    <t>10.1039/c9ta05216j</t>
  </si>
  <si>
    <t>10.1039/c9ta06781g</t>
  </si>
  <si>
    <t>DUT-8 described in synthesis section</t>
  </si>
  <si>
    <t>10.1039/c9tc00067d</t>
  </si>
  <si>
    <t>MOF-BTBMBA</t>
  </si>
  <si>
    <t>Synthesis described fully and in SI.</t>
  </si>
  <si>
    <t>10.1039/d0cc05451h</t>
  </si>
  <si>
    <t>general procedure described</t>
  </si>
  <si>
    <t>10.1039/d0dt02576c</t>
  </si>
  <si>
    <t>ZIF-8 referenced and described</t>
  </si>
  <si>
    <t>10.1039/d0dt04382f</t>
  </si>
  <si>
    <t>synthesis described in 2.2</t>
  </si>
  <si>
    <t>10.1039/d0ee01340d</t>
  </si>
  <si>
    <t>The paper synthesizes biomass-derived activated carbons; MOFs are only used as performance benchmarks.</t>
  </si>
  <si>
    <t>10.1039/d0gc02956d</t>
  </si>
  <si>
    <t>comp therory</t>
  </si>
  <si>
    <t>theroritical paper</t>
  </si>
  <si>
    <t>Perspective/review article on artificial intelligence for sustainable materials development; no original MOF synthesis is performed.</t>
  </si>
  <si>
    <t>10.1039/d0ra02212h</t>
  </si>
  <si>
    <t>comp paper</t>
  </si>
  <si>
    <t>Theoretical/computational study of modified SBMOF-1 adsorption; no MOF synthesis is performed.</t>
  </si>
  <si>
    <t>10.1039/d0ra03591b</t>
  </si>
  <si>
    <t>10.1039/d0ra04812g</t>
  </si>
  <si>
    <t>UiO-66 reported</t>
  </si>
  <si>
    <t>10.1039/d0ra05926a</t>
  </si>
  <si>
    <t>The products are explicitly 3D manganese coordination polymers; coordination polymers are excluded by the project rubric.</t>
  </si>
  <si>
    <t>10.1039/d0ra06432g</t>
  </si>
  <si>
    <t>10.1039/d0ra06529c</t>
  </si>
  <si>
    <t>10.1039/d0ra06578a</t>
  </si>
  <si>
    <t>Cu-BDC MOF described</t>
  </si>
  <si>
    <t>In situ Cu–BDC MOF/composite synthesis described fully.</t>
  </si>
  <si>
    <t>10.1039/d0ra06972h</t>
  </si>
  <si>
    <t>The material is a sulfonated magnetic resin/silica core–shell nanocatalyst, not a MOF.</t>
  </si>
  <si>
    <t>10.1039/d0ra07159e</t>
  </si>
  <si>
    <t>10.1039/d0ra09054a</t>
  </si>
  <si>
    <t>ionic liquid synthesis</t>
  </si>
  <si>
    <t>hydrothermal described in 2.2</t>
  </si>
  <si>
    <t>10.1039/d0ra10539b</t>
  </si>
  <si>
    <t>ccdc number cooresponds to a MOF synthesis in main</t>
  </si>
  <si>
    <t>The paper reports discrete metal complexes and ligand crystals rather than an extended porous MOF.</t>
  </si>
  <si>
    <t>10.1039/d0sc00485e</t>
  </si>
  <si>
    <t>no synth</t>
  </si>
  <si>
    <t>Perspective article on isolating reactive metal species in MOFs; no original MOF synthesis is performed.</t>
  </si>
  <si>
    <t>10.1039/d0sc01356k</t>
  </si>
  <si>
    <t>review with no synthesis</t>
  </si>
  <si>
    <t>Perspective article on modulated self-assembly of MOFs; no original MOF synthesis is performed.</t>
  </si>
  <si>
    <t>10.1039/d0sc01833c</t>
  </si>
  <si>
    <t>not polymer</t>
  </si>
  <si>
    <t>Metal organic cages</t>
  </si>
  <si>
    <t>The synthesized materials are discrete porous coordination cages, not extended MOFs.</t>
  </si>
  <si>
    <t>10.1039/d0sc04892e</t>
  </si>
  <si>
    <t>In situ MOF synthesis described fully and in SI.</t>
  </si>
  <si>
    <t>10.1039/d0sc04941g</t>
  </si>
  <si>
    <t>coordination cage</t>
  </si>
  <si>
    <t>coordination cages</t>
  </si>
  <si>
    <t>The synthesized materials are soluble porous coordination cages and mixed-cage solids, not extended MOFs.</t>
  </si>
  <si>
    <t>10.1039/d0tc02637a</t>
  </si>
  <si>
    <t>HKUST-1 solvothermal</t>
  </si>
  <si>
    <t>10.1039/d1cc02828f</t>
  </si>
  <si>
    <t>Syntheisis described</t>
  </si>
  <si>
    <t>synthesis of MIL-125 in SI</t>
  </si>
  <si>
    <t>10.1039/d1ce00287b</t>
  </si>
  <si>
    <t>10.1039/d1ce00461a</t>
  </si>
  <si>
    <t>2D Cu(I) coordination polymer</t>
  </si>
  <si>
    <t>The products are explicitly polymorphs of a 2D copper(I) coordination polymer rather than a qualifying porous MOF.</t>
  </si>
  <si>
    <t>10.1039/d1dt00927c</t>
  </si>
  <si>
    <t>not traditonal synth</t>
  </si>
  <si>
    <t>MOF chemical vapor deposition</t>
  </si>
  <si>
    <t>ZIF-8 is formed by a two-step chemical-vapor-deposition/conversion process; no qualifying solution-phase MOF synthesis is performed.</t>
  </si>
  <si>
    <t>10.1039/d1dt01945g</t>
  </si>
  <si>
    <t>Zn-IRMOF-74 synthesis described</t>
  </si>
  <si>
    <t>10.1039/d1dt03514b</t>
  </si>
  <si>
    <t>The products are described as cerium coordination polymers, and the study reports essentially no permanent porosity; they do not meet the project MOF criterion.</t>
  </si>
  <si>
    <t>10.1039/d1nr08305h</t>
  </si>
  <si>
    <t>10.1039/d1ra00181g</t>
  </si>
  <si>
    <t>The MOFs are formed directly by ultrasonication/sonochemical synthesis; this nontraditional framework-forming route is excluded by the project rubric.</t>
  </si>
  <si>
    <t>10.1039/d1ra00942g</t>
  </si>
  <si>
    <t>plasma based</t>
  </si>
  <si>
    <t>Conventional comparison synthesis described fully.</t>
  </si>
  <si>
    <t>plasma</t>
  </si>
  <si>
    <t>10.1039/d1ra01027a</t>
  </si>
  <si>
    <t>in main 2.2</t>
  </si>
  <si>
    <t>10.1039/d1ra01151k</t>
  </si>
  <si>
    <t>Sonochemical synthesis</t>
  </si>
  <si>
    <t>The synthesized product is a trinuclear Cu(II) molecular complex, not an extended metal-organic framework.</t>
  </si>
  <si>
    <t>10.1039/d1ra01703a</t>
  </si>
  <si>
    <t>UiO-66 xerogel synthesis described fully.</t>
  </si>
  <si>
    <t>10.1039/d1ra01742j</t>
  </si>
  <si>
    <t>synthesis paper</t>
  </si>
  <si>
    <t>10.1039/d1ra03943a</t>
  </si>
  <si>
    <t>The paper synthesizes a mononuclear zinc Schiff-base complex rather than a MOF.</t>
  </si>
  <si>
    <t>10.1039/d1ra04591a</t>
  </si>
  <si>
    <t>described pervious work for ZIF-8</t>
  </si>
  <si>
    <t>10.1039/d1ra04801e</t>
  </si>
  <si>
    <t>ultrathin ms</t>
  </si>
  <si>
    <t>ZIF-8 referenced previous work</t>
  </si>
  <si>
    <t>ZIF-8 membrane synthesis described fully.</t>
  </si>
  <si>
    <t>10.1039/d1ra05349c</t>
  </si>
  <si>
    <t>cd-MOF</t>
  </si>
  <si>
    <t>10.1039/d1ra06509b</t>
  </si>
  <si>
    <t>PMO</t>
  </si>
  <si>
    <t>The catalyst is copper supported on periodic mesoporous organosilica; no MOF synthesis is performed.</t>
  </si>
  <si>
    <t>10.1039/d1ra06592k</t>
  </si>
  <si>
    <t>10.1039/d1ra07363j</t>
  </si>
  <si>
    <t>MOF UiO-68</t>
  </si>
  <si>
    <t>10.1039/d1ra08407k</t>
  </si>
  <si>
    <t>mesoporous carbon</t>
  </si>
  <si>
    <t>The paper synthesizes pectin-derived micro/mesoporous carbon, not a metal-organic framework.</t>
  </si>
  <si>
    <t>10.1039/d1ra08523a</t>
  </si>
  <si>
    <t>MIL-101 in main</t>
  </si>
  <si>
    <t>10.1039/d1ra08710j</t>
  </si>
  <si>
    <t>in general procedure in main</t>
  </si>
  <si>
    <t>10.1039/d1ra08950a</t>
  </si>
  <si>
    <t>synthesis of MIL-47 in SI</t>
  </si>
  <si>
    <t>10.1039/d1sc00607j</t>
  </si>
  <si>
    <t>hydrothermal MIL-47</t>
  </si>
  <si>
    <t>Hydrothermal MIL-47(V) synthesis described fully.</t>
  </si>
  <si>
    <t>10.1039/d1sc03665c</t>
  </si>
  <si>
    <t>Mechanochemical synthesis</t>
  </si>
  <si>
    <t>Solvothermal comparison synthesis described fully.</t>
  </si>
  <si>
    <t>10.1039/d1sc03962h</t>
  </si>
  <si>
    <t>MOF-template synthesis described fully.</t>
  </si>
  <si>
    <t>10.1039/d1sc04779e</t>
  </si>
  <si>
    <t>solvent free synth</t>
  </si>
  <si>
    <t>Non conventional synthesis</t>
  </si>
  <si>
    <t>synthesis of ZIF in SI</t>
  </si>
  <si>
    <t>The ZIFs are produced by a direct solvent-free framework-forming route, which is excluded by the project rubric.</t>
  </si>
  <si>
    <t>10.1039/d2cc01139e</t>
  </si>
  <si>
    <t>10.1039/d2cc03575h</t>
  </si>
  <si>
    <t>10.1039/d2cc03661d</t>
  </si>
  <si>
    <t>referenced ZIF-94 synthesis 5 and SIM-1 6,7</t>
  </si>
  <si>
    <t>10.1039/d2cc06945h</t>
  </si>
  <si>
    <t>reported synthesis in SI</t>
  </si>
  <si>
    <t>10.1039/d2ce00061j</t>
  </si>
  <si>
    <t>The products are explicitly POM-based coordination polymers rather than qualifying MOFs.</t>
  </si>
  <si>
    <t>10.1039/d2ce01529c</t>
  </si>
  <si>
    <t>section 2.3 in SI</t>
  </si>
  <si>
    <t>10.1039/d2dt02260e</t>
  </si>
  <si>
    <t>10.1039/d2ee02322a</t>
  </si>
  <si>
    <t>Active bio carbon</t>
  </si>
  <si>
    <t>The study synthesizes biocarbons for gas storage; no MOF synthesis is performed.</t>
  </si>
  <si>
    <t>10.1039/d2qi01180h</t>
  </si>
  <si>
    <t>The synthesized material is explicitly a radical-doped coordination polymer, which is excluded by the project rubric.</t>
  </si>
  <si>
    <t>10.1039/d2qi02599j</t>
  </si>
  <si>
    <t>The materials are ionic porphyrin-based organic polymers/frameworks rather than metal-organic frameworks.</t>
  </si>
  <si>
    <t>10.1039/d2qi02639b</t>
  </si>
  <si>
    <t>reported in main text</t>
  </si>
  <si>
    <t>Room-temperature bioMOF synthesis described fully.</t>
  </si>
  <si>
    <t>10.1039/d2ra00746k</t>
  </si>
  <si>
    <t>solvothermal was noted</t>
  </si>
  <si>
    <t>Co-based MOF synthesis described in prior work.</t>
  </si>
  <si>
    <t>10.1039/d2ra01759h</t>
  </si>
  <si>
    <t>amporhous MOF</t>
  </si>
  <si>
    <t>MOF synthesis reported</t>
  </si>
  <si>
    <t>10.1039/d2ra02680e</t>
  </si>
  <si>
    <t>10.1039/d2ra02773a</t>
  </si>
  <si>
    <t>layer by layer</t>
  </si>
  <si>
    <t>layer by layer synthsis</t>
  </si>
  <si>
    <t>Layer-by-layer MOF coating synthesis described fully.</t>
  </si>
  <si>
    <t>10.1039/d2ra03131k</t>
  </si>
  <si>
    <t>mentioned previous procdure of UiO-66</t>
  </si>
  <si>
    <t>10.1039/d2ra03747e</t>
  </si>
  <si>
    <t>solvothermal UiO-67</t>
  </si>
  <si>
    <t>10.1039/d2ra04031j</t>
  </si>
  <si>
    <t>porous organic network</t>
  </si>
  <si>
    <t>The material is a porous graphdiyne-like organic network, not a metal-organic framework.</t>
  </si>
  <si>
    <t>10.1039/d2ra05655k</t>
  </si>
  <si>
    <t>MIL-125 according to literature</t>
  </si>
  <si>
    <t>10.1039/d2ra05878b</t>
  </si>
  <si>
    <t>layer by later synthesis</t>
  </si>
  <si>
    <t>10.1039/d2ra07077d</t>
  </si>
  <si>
    <t>ultrasonic</t>
  </si>
  <si>
    <t>a solvothermal method mentioned</t>
  </si>
  <si>
    <t>MIL-53(Fe) synthesis described fully.</t>
  </si>
  <si>
    <t>10.1039/d2ra08016h</t>
  </si>
  <si>
    <t>10.1039/d2ra08312d</t>
  </si>
  <si>
    <t>ZIF-8 perviously reported method</t>
  </si>
  <si>
    <t>Room-temperature ZIF-8 synthesis described fully.</t>
  </si>
  <si>
    <t>10.1039/d2sc00526c</t>
  </si>
  <si>
    <t>ALOC series reported in main</t>
  </si>
  <si>
    <t>Porous heterometallic framework synthesis described fully.</t>
  </si>
  <si>
    <t>10.1039/d2sc01254e</t>
  </si>
  <si>
    <t>comp work</t>
  </si>
  <si>
    <t>computational work</t>
  </si>
  <si>
    <t>Perspective article on translating computational MOF screening to experiment; no original MOF synthesis is performed in this paper.</t>
  </si>
  <si>
    <t>10.1039/d2sc02267b</t>
  </si>
  <si>
    <t>10.1039/d2sc04783g</t>
  </si>
  <si>
    <t>10.1039/d2ta08092c</t>
  </si>
  <si>
    <t>10.1039/d2ta09376f</t>
  </si>
  <si>
    <t>porous carbon</t>
  </si>
  <si>
    <t>Not MOF_porous carbon</t>
  </si>
  <si>
    <t>The study synthesizes nitrogen-rich activated porous carbons, not metal-organic frameworks.</t>
  </si>
  <si>
    <t>10.1039/d2tc00920j</t>
  </si>
  <si>
    <t>synthesis of CJLU-1</t>
  </si>
  <si>
    <t>Zr-MOF nanoflower synthesis described fully.</t>
  </si>
  <si>
    <t>10.1039/d3cc01685d</t>
  </si>
  <si>
    <t>MIL-53(Cr)</t>
  </si>
  <si>
    <t>10.1039/d3ce00138e</t>
  </si>
  <si>
    <t>10.1039/d3cp01004j</t>
  </si>
  <si>
    <t>small scale MIL-140</t>
  </si>
  <si>
    <t>10.1039/d3dt00367a</t>
  </si>
  <si>
    <t>microwave assisted synthesis</t>
  </si>
  <si>
    <t>sonication method</t>
  </si>
  <si>
    <t>10.1039/d3dt03654e</t>
  </si>
  <si>
    <t>vapor assited</t>
  </si>
  <si>
    <t>Vapor assisted synthesis</t>
  </si>
  <si>
    <t>MIL-101 followed taylor Pashow et al.</t>
  </si>
  <si>
    <t>MIL-101(Fe) is formed from dry, mechanically ground precursors exposed to DMF vapor without solvent contact; this vapor-assisted dry framework-forming route is excluded by the project rubric.</t>
  </si>
  <si>
    <t>10.1039/d3na00805c</t>
  </si>
  <si>
    <t>10.1039/d3qi00391d</t>
  </si>
  <si>
    <t>mechanociakemica</t>
  </si>
  <si>
    <t>The study synthesizes a 1D coordination-polymer intermediate and a 2D switching coordination network; coordination polymers/networks are excluded by the project rubric.</t>
  </si>
  <si>
    <t>10.1039/d3ta05299k</t>
  </si>
  <si>
    <t>vapor phase</t>
  </si>
  <si>
    <t>Not a conventional synthesis</t>
  </si>
  <si>
    <t>vapor phase ZIF-8</t>
  </si>
  <si>
    <t>ZIF-8 is formed by solvent-free vapor conversion of ALD-deposited ZnO with 2-methylimidazole vapor; this vapor-phase framework-forming route is excluded by the project rubric.</t>
  </si>
  <si>
    <t>10.1039/d4cy00969j</t>
  </si>
  <si>
    <t>coordination</t>
  </si>
  <si>
    <t>The synthesized products are explicitly 1D Zn(II) and 2D Cu(I) coordination polymers rather than qualifying MOFs.</t>
  </si>
  <si>
    <t>10.1039/d4dt00626g</t>
  </si>
  <si>
    <t>general solvothermal described in main</t>
  </si>
  <si>
    <t>10.1039/d4dt00894d</t>
  </si>
  <si>
    <t>10.1039/d4dt01667j</t>
  </si>
  <si>
    <t>Green one-pot MOF synthesis described fully.</t>
  </si>
  <si>
    <t>10.1039/d4na00643g</t>
  </si>
  <si>
    <t>nano composite</t>
  </si>
  <si>
    <t>Nano composite</t>
  </si>
  <si>
    <t>Co-MOF nanocomposite synthesis described fully.</t>
  </si>
  <si>
    <t>10.1039/d4ra00493k</t>
  </si>
  <si>
    <t>solvothermal BI based MOF described</t>
  </si>
  <si>
    <t>10.1039/d5na00087d</t>
  </si>
  <si>
    <t>10.1039/d5ra01942g</t>
  </si>
  <si>
    <t>Zn-TCPP perviously reported</t>
  </si>
  <si>
    <t>Solvothermal 2D Zn-TCPP MOF synthesis described fully.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</si>
</sst>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name val="Carlito"/>
    </font>
    <font>
      <sz val="11"/>
      <name val="Aptos"/>
    </font>
    <font>
      <b/>
      <sz val="11"/>
      <color rgb="FFFFFFFF"/>
      <name val="Aptos"/>
    </font>
    <font>
      <b/>
      <sz val="11"/>
      <name val="Aptos"/>
    </font>
  </fonts>
  <fills count="4">
    <fill>
      <patternFill patternType="none"/>
    </fill>
    <fill>
      <patternFill patternType="gray125"/>
    </fill>
    <fill>
      <patternFill patternType="solid">
        <fgColor rgb="FF31598D"/>
      </patternFill>
    </fill>
    <fill>
      <patternFill patternType="solid">
        <f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2" borderId="0" xfId="0" applyNumberFormat="1" applyFont="1" applyFill="1" applyBorder="1" applyAlignment="1">
      <alignment horizontal="center" vertical="center" wrapText="1"/>
    </xf>
    <xf numFmtId="0" fontId="1" fillId="3" borderId="0" xfId="0" applyNumberFormat="1" applyFont="1" applyFill="1" applyBorder="1" applyAlignment="1">
      <alignment vertical="top" wrapText="1"/>
    </xf>
    <xf numFmtId="0" fontId="3" fillId="3" borderId="0" xfId="0" applyNumberFormat="1" applyFont="1" applyFill="1" applyBorder="1" applyAlignment="1">
      <alignment horizontal="center" vertical="top" wrapText="1"/>
    </xf>
    <xf numFmtId="0" fontId="1" fillId="3" borderId="0" xfId="0" applyNumberFormat="1" applyFont="1" applyFill="1" applyBorder="1" applyAlignment="1">
      <alignment horizontal="center" vertical="top" wrapText="1"/>
    </xf>
  </cellXfs>
  <cellStyles count="1">
    <cellStyle name="Normal" xfId="0" builtinId="0"/>
  </cellStyles>
  <dxfs count="39">
    <dxf>
      <fill>
        <patternFill patternType="solid">
          <bgColor rgb="FFF3F6FA"/>
        </patternFill>
      </fill>
    </dxf>
    <dxf>
      <fill>
        <patternFill patternType="solid">
          <bgColor rgb="FFF3F6FA"/>
        </patternFill>
      </fill>
    </dxf>
    <dxf>
      <fill>
        <patternFill patternType="solid">
          <bgColor rgb="FFFFF0BF"/>
        </patternFill>
      </fill>
    </dxf>
    <dxf>
      <fill>
        <patternFill patternType="solid">
          <bgColor rgb="FFE9F0F8"/>
        </patternFill>
      </fill>
    </dxf>
    <dxf>
      <fill>
        <patternFill patternType="solid">
          <bgColor rgb="FFF3F6FA"/>
        </patternFill>
      </fill>
    </dxf>
    <dxf>
      <font>
        <color rgb="FF76530A"/>
      </font>
      <fill>
        <patternFill patternType="solid">
          <bgColor rgb="FFFFF0BF"/>
        </patternFill>
      </fill>
    </dxf>
    <dxf>
      <font>
        <color rgb="FF91342C"/>
      </font>
      <fill>
        <patternFill patternType="solid">
          <bgColor rgb="FFF7DFDC"/>
        </patternFill>
      </fill>
    </dxf>
    <dxf>
      <font>
        <color rgb="FF195B37"/>
      </font>
      <fill>
        <patternFill patternType="solid">
          <bgColor rgb="FFDCEEE2"/>
        </patternFill>
      </fill>
    </dxf>
    <dxf>
      <font>
        <color rgb="FF76530A"/>
      </font>
      <fill>
        <patternFill patternType="solid">
          <bgColor rgb="FFFFF0BF"/>
        </patternFill>
      </fill>
    </dxf>
    <dxf>
      <font>
        <color rgb="FF91342C"/>
      </font>
      <fill>
        <patternFill patternType="solid">
          <bgColor rgb="FFF7DFDC"/>
        </patternFill>
      </fill>
    </dxf>
    <dxf>
      <font>
        <color rgb="FF195B37"/>
      </font>
      <fill>
        <patternFill patternType="solid">
          <bgColor rgb="FFDCEEE2"/>
        </patternFill>
      </fill>
    </dxf>
    <dxf>
      <fill>
        <patternFill patternType="solid">
          <bgColor rgb="FFF3F6FA"/>
        </patternFill>
      </fill>
    </dxf>
    <dxf>
      <font>
        <color rgb="FF76530A"/>
      </font>
      <fill>
        <patternFill patternType="solid">
          <bgColor rgb="FFFFF0BF"/>
        </patternFill>
      </fill>
    </dxf>
    <dxf>
      <font>
        <color rgb="FF91342C"/>
      </font>
      <fill>
        <patternFill patternType="solid">
          <bgColor rgb="FFF7DFDC"/>
        </patternFill>
      </fill>
    </dxf>
    <dxf>
      <font>
        <color rgb="FF195B37"/>
      </font>
      <fill>
        <patternFill patternType="solid">
          <bgColor rgb="FFDCEEE2"/>
        </patternFill>
      </fill>
    </dxf>
    <dxf>
      <font>
        <color rgb="FF76530A"/>
      </font>
      <fill>
        <patternFill patternType="solid">
          <bgColor rgb="FFFFF0BF"/>
        </patternFill>
      </fill>
    </dxf>
    <dxf>
      <font>
        <color rgb="FF91342C"/>
      </font>
      <fill>
        <patternFill patternType="solid">
          <bgColor rgb="FFF7DFDC"/>
        </patternFill>
      </fill>
    </dxf>
    <dxf>
      <font>
        <color rgb="FF195B37"/>
      </font>
      <fill>
        <patternFill patternType="solid">
          <bgColor rgb="FFDCEEE2"/>
        </patternFill>
      </fill>
    </dxf>
    <dxf>
      <fill>
        <patternFill patternType="solid">
          <bgColor rgb="FFF3F6FA"/>
        </patternFill>
      </fill>
    </dxf>
    <dxf>
      <font>
        <color rgb="FF76530A"/>
      </font>
      <fill>
        <patternFill patternType="solid">
          <bgColor rgb="FFFFF0BF"/>
        </patternFill>
      </fill>
    </dxf>
    <dxf>
      <font>
        <color rgb="FF91342C"/>
      </font>
      <fill>
        <patternFill patternType="solid">
          <bgColor rgb="FFF7DFDC"/>
        </patternFill>
      </fill>
    </dxf>
    <dxf>
      <font>
        <color rgb="FF195B37"/>
      </font>
      <fill>
        <patternFill patternType="solid">
          <bgColor rgb="FFDCEEE2"/>
        </patternFill>
      </fill>
    </dxf>
    <dxf>
      <font>
        <color rgb="FF76530A"/>
      </font>
      <fill>
        <patternFill patternType="solid">
          <bgColor rgb="FFFFF0BF"/>
        </patternFill>
      </fill>
    </dxf>
    <dxf>
      <font>
        <color rgb="FF91342C"/>
      </font>
      <fill>
        <patternFill patternType="solid">
          <bgColor rgb="FFF7DFDC"/>
        </patternFill>
      </fill>
    </dxf>
    <dxf>
      <font>
        <color rgb="FF195B37"/>
      </font>
      <fill>
        <patternFill patternType="solid">
          <bgColor rgb="FFDCEEE2"/>
        </patternFill>
      </fill>
    </dxf>
    <dxf>
      <fill>
        <patternFill patternType="solid">
          <bgColor rgb="FFF3F6FA"/>
        </patternFill>
      </fill>
    </dxf>
    <dxf>
      <font>
        <color rgb="FF76530A"/>
      </font>
      <fill>
        <patternFill patternType="solid">
          <bgColor rgb="FFFFF0BF"/>
        </patternFill>
      </fill>
    </dxf>
    <dxf>
      <font>
        <color rgb="FF91342C"/>
      </font>
      <fill>
        <patternFill patternType="solid">
          <bgColor rgb="FFF7DFDC"/>
        </patternFill>
      </fill>
    </dxf>
    <dxf>
      <font>
        <color rgb="FF195B37"/>
      </font>
      <fill>
        <patternFill patternType="solid">
          <bgColor rgb="FFDCEEE2"/>
        </patternFill>
      </fill>
    </dxf>
    <dxf>
      <font>
        <color rgb="FF76530A"/>
      </font>
      <fill>
        <patternFill patternType="solid">
          <bgColor rgb="FFFFF0BF"/>
        </patternFill>
      </fill>
    </dxf>
    <dxf>
      <font>
        <color rgb="FF91342C"/>
      </font>
      <fill>
        <patternFill patternType="solid">
          <bgColor rgb="FFF7DFDC"/>
        </patternFill>
      </fill>
    </dxf>
    <dxf>
      <font>
        <color rgb="FF195B37"/>
      </font>
      <fill>
        <patternFill patternType="solid">
          <bgColor rgb="FFDCEEE2"/>
        </patternFill>
      </fill>
    </dxf>
    <dxf>
      <font>
        <color rgb="FF76530A"/>
      </font>
      <fill>
        <patternFill patternType="solid">
          <bgColor rgb="FFFFF0BF"/>
        </patternFill>
      </fill>
    </dxf>
    <dxf>
      <font>
        <color rgb="FF91342C"/>
      </font>
      <fill>
        <patternFill patternType="solid">
          <bgColor rgb="FFF7DFDC"/>
        </patternFill>
      </fill>
    </dxf>
    <dxf>
      <font>
        <color rgb="FF195B37"/>
      </font>
      <fill>
        <patternFill patternType="solid">
          <bgColor rgb="FFDCEEE2"/>
        </patternFill>
      </fill>
    </dxf>
    <dxf>
      <font>
        <color rgb="FF76530A"/>
      </font>
      <fill>
        <patternFill patternType="solid">
          <bgColor rgb="FFFFF0BF"/>
        </patternFill>
      </fill>
    </dxf>
    <dxf>
      <font>
        <color rgb="FF91342C"/>
      </font>
      <fill>
        <patternFill patternType="solid">
          <bgColor rgb="FFF7DFDC"/>
        </patternFill>
      </fill>
    </dxf>
    <dxf>
      <font>
        <color rgb="FF195B37"/>
      </font>
      <fill>
        <patternFill patternType="solid">
          <bgColor rgb="FFDCEEE2"/>
        </patternFill>
      </fill>
    </dxf>
    <dxf>
      <fill>
        <patternFill patternType="solid">
          <bgColor rgb="FFF3F6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nsensusGroundTruth" displayName="ConsensusGroundTruth" ref="A1:M479" totalsRowShown="0">
  <tableColumns count="13">
    <tableColumn id="1" xr3:uid="{00000000-0010-0000-0000-000001000000}" name="DOI"/>
    <tableColumn id="2" xr3:uid="{00000000-0010-0000-0000-000002000000}" name="Consensus GT"/>
    <tableColumn id="3" xr3:uid="{00000000-0010-0000-0000-000003000000}" name="Annotator 1"/>
    <tableColumn id="4" xr3:uid="{00000000-0010-0000-0000-000004000000}" name="Annotator 1 comment"/>
    <tableColumn id="5" xr3:uid="{00000000-0010-0000-0000-000005000000}" name="Annotator 2"/>
    <tableColumn id="6" xr3:uid="{00000000-0010-0000-0000-000006000000}" name="Annotator 2 comment"/>
    <tableColumn id="7" xr3:uid="{00000000-0010-0000-0000-000007000000}" name="Annotator 3"/>
    <tableColumn id="8" xr3:uid="{00000000-0010-0000-0000-000008000000}" name="Annotator 3 comment"/>
    <tableColumn id="9" xr3:uid="{00000000-0010-0000-0000-000009000000}" name="Annotator 4"/>
    <tableColumn id="10" xr3:uid="{00000000-0010-0000-0000-00000A000000}" name="Annotator 4 comment"/>
    <tableColumn id="11" xr3:uid="{00000000-0010-0000-0000-00000B000000}" name="Vote pattern"/>
    <tableColumn id="12" xr3:uid="{00000000-0010-0000-0000-00000C000000}" name="Resolution method"/>
    <tableColumn id="13" xr3:uid="{00000000-0010-0000-0000-00000D000000}" name="Rule/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79"/>
  <sheetViews>
    <sheetView tabSelected="1" zoomScale="70" zoomScaleNormal="70" workbookViewId="0">
      <selection activeCell="A2" sqref="A2:A479"/>
    </sheetView>
  </sheetViews>
  <sheetFormatPr defaultRowHeight="14.25" x14ac:dyDescent="0.2"/>
  <cols>
    <col min="1" max="1" width="34" customWidth="1"/>
    <col min="2" max="2" width="14" customWidth="1"/>
    <col min="3" max="3" width="12" customWidth="1"/>
    <col min="4" max="4" width="44" customWidth="1"/>
    <col min="5" max="5" width="12" customWidth="1"/>
    <col min="6" max="6" width="44" customWidth="1"/>
    <col min="7" max="7" width="12" customWidth="1"/>
    <col min="8" max="8" width="44" customWidth="1"/>
    <col min="9" max="9" width="12" customWidth="1"/>
    <col min="10" max="10" width="44" customWidth="1"/>
    <col min="11" max="11" width="19" customWidth="1"/>
    <col min="12" max="12" width="24" customWidth="1"/>
    <col min="13" max="13" width="48" customWidth="1"/>
  </cols>
  <sheetData>
    <row r="1" spans="1:13" ht="42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98.1" customHeight="1" x14ac:dyDescent="0.2">
      <c r="A2" s="2" t="s">
        <v>13</v>
      </c>
      <c r="B2" s="3" t="s">
        <v>14</v>
      </c>
      <c r="C2" s="3" t="s">
        <v>14</v>
      </c>
      <c r="D2" s="2" t="s">
        <v>15</v>
      </c>
      <c r="E2" s="3" t="s">
        <v>14</v>
      </c>
      <c r="F2" s="2" t="s">
        <v>16</v>
      </c>
      <c r="G2" s="3" t="s">
        <v>14</v>
      </c>
      <c r="H2" s="2" t="s">
        <v>17</v>
      </c>
      <c r="I2" s="3" t="s">
        <v>14</v>
      </c>
      <c r="J2" s="2" t="s">
        <v>18</v>
      </c>
      <c r="K2" s="4" t="str">
        <f t="shared" ref="K2:K65" si="0">(COUNTIF(C2,"Y")+COUNTIF(E2,"Y")+COUNTIF(G2,"Y")+COUNTIF(I2,"Y"))&amp;"Y / "&amp;(COUNTIF(C2,"N")+COUNTIF(E2,"N")+COUNTIF(G2,"N")+COUNTIF(I2,"N"))&amp;"N"&amp;IF(4-(COUNTIF(C2,"Y")+COUNTIF(E2,"Y")+COUNTIF(G2,"Y")+COUNTIF(I2,"Y"))-(COUNTIF(C2,"N")+COUNTIF(E2,"N")+COUNTIF(G2,"N")+COUNTIF(I2,"N"))&gt;0," / "&amp;(4-(COUNTIF(C2,"Y")+COUNTIF(E2,"Y")+COUNTIF(G2,"Y")+COUNTIF(I2,"Y"))-(COUNTIF(C2,"N")+COUNTIF(E2,"N")+COUNTIF(G2,"N")+COUNTIF(I2,"N")))&amp;" ambiguous","")</f>
        <v>4Y / 0N</v>
      </c>
      <c r="L2" s="2" t="s">
        <v>19</v>
      </c>
      <c r="M2" s="2"/>
    </row>
    <row r="3" spans="1:13" ht="98.1" customHeight="1" x14ac:dyDescent="0.2">
      <c r="A3" s="2" t="s">
        <v>20</v>
      </c>
      <c r="B3" s="3" t="s">
        <v>14</v>
      </c>
      <c r="C3" s="3" t="s">
        <v>14</v>
      </c>
      <c r="D3" s="2" t="s">
        <v>21</v>
      </c>
      <c r="E3" s="3" t="s">
        <v>14</v>
      </c>
      <c r="F3" s="2" t="s">
        <v>22</v>
      </c>
      <c r="G3" s="3" t="s">
        <v>14</v>
      </c>
      <c r="H3" s="2" t="s">
        <v>23</v>
      </c>
      <c r="I3" s="3" t="s">
        <v>24</v>
      </c>
      <c r="J3" s="2" t="s">
        <v>25</v>
      </c>
      <c r="K3" s="4" t="str">
        <f t="shared" si="0"/>
        <v>3Y / 1N</v>
      </c>
      <c r="L3" s="2" t="s">
        <v>26</v>
      </c>
      <c r="M3" s="2" t="s">
        <v>27</v>
      </c>
    </row>
    <row r="4" spans="1:13" ht="98.1" customHeight="1" x14ac:dyDescent="0.2">
      <c r="A4" s="2" t="s">
        <v>28</v>
      </c>
      <c r="B4" s="3" t="s">
        <v>14</v>
      </c>
      <c r="C4" s="3" t="s">
        <v>14</v>
      </c>
      <c r="D4" s="2" t="s">
        <v>29</v>
      </c>
      <c r="E4" s="3" t="s">
        <v>14</v>
      </c>
      <c r="F4" s="2" t="s">
        <v>30</v>
      </c>
      <c r="G4" s="3" t="s">
        <v>14</v>
      </c>
      <c r="H4" s="2" t="s">
        <v>31</v>
      </c>
      <c r="I4" s="3" t="s">
        <v>14</v>
      </c>
      <c r="J4" s="2" t="s">
        <v>32</v>
      </c>
      <c r="K4" s="4" t="str">
        <f t="shared" si="0"/>
        <v>4Y / 0N</v>
      </c>
      <c r="L4" s="2" t="s">
        <v>19</v>
      </c>
      <c r="M4" s="2"/>
    </row>
    <row r="5" spans="1:13" ht="98.1" customHeight="1" x14ac:dyDescent="0.2">
      <c r="A5" s="2" t="s">
        <v>33</v>
      </c>
      <c r="B5" s="3" t="s">
        <v>24</v>
      </c>
      <c r="C5" s="3" t="s">
        <v>14</v>
      </c>
      <c r="D5" s="2" t="s">
        <v>34</v>
      </c>
      <c r="E5" s="3" t="s">
        <v>24</v>
      </c>
      <c r="F5" s="2" t="s">
        <v>35</v>
      </c>
      <c r="G5" s="3" t="s">
        <v>24</v>
      </c>
      <c r="H5" s="2" t="s">
        <v>36</v>
      </c>
      <c r="I5" s="3" t="s">
        <v>14</v>
      </c>
      <c r="J5" s="2" t="s">
        <v>37</v>
      </c>
      <c r="K5" s="4" t="str">
        <f t="shared" si="0"/>
        <v>2Y / 2N</v>
      </c>
      <c r="L5" s="2" t="s">
        <v>38</v>
      </c>
      <c r="M5" s="2" t="s">
        <v>39</v>
      </c>
    </row>
    <row r="6" spans="1:13" ht="98.1" customHeight="1" x14ac:dyDescent="0.2">
      <c r="A6" s="2" t="s">
        <v>40</v>
      </c>
      <c r="B6" s="3" t="s">
        <v>14</v>
      </c>
      <c r="C6" s="3" t="s">
        <v>14</v>
      </c>
      <c r="D6" s="2" t="s">
        <v>41</v>
      </c>
      <c r="E6" s="3" t="s">
        <v>14</v>
      </c>
      <c r="F6" s="2" t="s">
        <v>42</v>
      </c>
      <c r="G6" s="3" t="s">
        <v>14</v>
      </c>
      <c r="H6" s="2" t="s">
        <v>43</v>
      </c>
      <c r="I6" s="3" t="s">
        <v>14</v>
      </c>
      <c r="J6" s="2" t="s">
        <v>44</v>
      </c>
      <c r="K6" s="4" t="str">
        <f t="shared" si="0"/>
        <v>4Y / 0N</v>
      </c>
      <c r="L6" s="2" t="s">
        <v>19</v>
      </c>
      <c r="M6" s="2"/>
    </row>
    <row r="7" spans="1:13" ht="98.1" customHeight="1" x14ac:dyDescent="0.2">
      <c r="A7" s="2" t="s">
        <v>45</v>
      </c>
      <c r="B7" s="3" t="s">
        <v>24</v>
      </c>
      <c r="C7" s="3" t="s">
        <v>24</v>
      </c>
      <c r="D7" s="2" t="s">
        <v>46</v>
      </c>
      <c r="E7" s="3" t="s">
        <v>14</v>
      </c>
      <c r="F7" s="2" t="s">
        <v>47</v>
      </c>
      <c r="G7" s="3" t="s">
        <v>14</v>
      </c>
      <c r="H7" s="2" t="s">
        <v>48</v>
      </c>
      <c r="I7" s="3" t="s">
        <v>14</v>
      </c>
      <c r="J7" s="2" t="s">
        <v>49</v>
      </c>
      <c r="K7" s="4" t="str">
        <f t="shared" si="0"/>
        <v>3Y / 1N</v>
      </c>
      <c r="L7" s="2" t="s">
        <v>38</v>
      </c>
      <c r="M7" s="2" t="s">
        <v>50</v>
      </c>
    </row>
    <row r="8" spans="1:13" ht="98.1" customHeight="1" x14ac:dyDescent="0.2">
      <c r="A8" s="2" t="s">
        <v>51</v>
      </c>
      <c r="B8" s="3" t="s">
        <v>14</v>
      </c>
      <c r="C8" s="3" t="s">
        <v>14</v>
      </c>
      <c r="D8" s="2" t="s">
        <v>52</v>
      </c>
      <c r="E8" s="3" t="s">
        <v>14</v>
      </c>
      <c r="F8" s="2" t="s">
        <v>53</v>
      </c>
      <c r="G8" s="3" t="s">
        <v>14</v>
      </c>
      <c r="H8" s="2" t="s">
        <v>54</v>
      </c>
      <c r="I8" s="3" t="s">
        <v>14</v>
      </c>
      <c r="J8" s="2" t="s">
        <v>55</v>
      </c>
      <c r="K8" s="4" t="str">
        <f t="shared" si="0"/>
        <v>4Y / 0N</v>
      </c>
      <c r="L8" s="2" t="s">
        <v>19</v>
      </c>
      <c r="M8" s="2"/>
    </row>
    <row r="9" spans="1:13" ht="98.1" customHeight="1" x14ac:dyDescent="0.2">
      <c r="A9" s="2" t="s">
        <v>56</v>
      </c>
      <c r="B9" s="3" t="s">
        <v>14</v>
      </c>
      <c r="C9" s="3" t="s">
        <v>14</v>
      </c>
      <c r="D9" s="2" t="s">
        <v>57</v>
      </c>
      <c r="E9" s="3" t="s">
        <v>14</v>
      </c>
      <c r="F9" s="2" t="s">
        <v>58</v>
      </c>
      <c r="G9" s="3" t="s">
        <v>14</v>
      </c>
      <c r="H9" s="2" t="s">
        <v>59</v>
      </c>
      <c r="I9" s="3" t="s">
        <v>14</v>
      </c>
      <c r="J9" s="2" t="s">
        <v>60</v>
      </c>
      <c r="K9" s="4" t="str">
        <f t="shared" si="0"/>
        <v>4Y / 0N</v>
      </c>
      <c r="L9" s="2" t="s">
        <v>19</v>
      </c>
      <c r="M9" s="2"/>
    </row>
    <row r="10" spans="1:13" ht="98.1" customHeight="1" x14ac:dyDescent="0.2">
      <c r="A10" s="2" t="s">
        <v>61</v>
      </c>
      <c r="B10" s="3" t="s">
        <v>24</v>
      </c>
      <c r="C10" s="3" t="s">
        <v>24</v>
      </c>
      <c r="D10" s="2" t="s">
        <v>62</v>
      </c>
      <c r="E10" s="3" t="s">
        <v>14</v>
      </c>
      <c r="F10" s="2" t="s">
        <v>63</v>
      </c>
      <c r="G10" s="3" t="s">
        <v>14</v>
      </c>
      <c r="H10" s="2" t="s">
        <v>64</v>
      </c>
      <c r="I10" s="3" t="s">
        <v>14</v>
      </c>
      <c r="J10" s="2" t="s">
        <v>65</v>
      </c>
      <c r="K10" s="4" t="str">
        <f t="shared" si="0"/>
        <v>3Y / 1N</v>
      </c>
      <c r="L10" s="2" t="s">
        <v>38</v>
      </c>
      <c r="M10" s="2" t="s">
        <v>66</v>
      </c>
    </row>
    <row r="11" spans="1:13" ht="98.1" customHeight="1" x14ac:dyDescent="0.2">
      <c r="A11" s="2" t="s">
        <v>67</v>
      </c>
      <c r="B11" s="3" t="s">
        <v>14</v>
      </c>
      <c r="C11" s="3" t="s">
        <v>14</v>
      </c>
      <c r="D11" s="2" t="s">
        <v>68</v>
      </c>
      <c r="E11" s="3" t="s">
        <v>14</v>
      </c>
      <c r="F11" s="2" t="s">
        <v>63</v>
      </c>
      <c r="G11" s="3" t="s">
        <v>14</v>
      </c>
      <c r="H11" s="2" t="s">
        <v>69</v>
      </c>
      <c r="I11" s="3" t="s">
        <v>14</v>
      </c>
      <c r="J11" s="2" t="s">
        <v>70</v>
      </c>
      <c r="K11" s="4" t="str">
        <f t="shared" si="0"/>
        <v>4Y / 0N</v>
      </c>
      <c r="L11" s="2" t="s">
        <v>19</v>
      </c>
      <c r="M11" s="2"/>
    </row>
    <row r="12" spans="1:13" ht="98.1" customHeight="1" x14ac:dyDescent="0.2">
      <c r="A12" s="2" t="s">
        <v>71</v>
      </c>
      <c r="B12" s="3" t="s">
        <v>14</v>
      </c>
      <c r="C12" s="3" t="s">
        <v>14</v>
      </c>
      <c r="D12" s="2" t="s">
        <v>72</v>
      </c>
      <c r="E12" s="3" t="s">
        <v>14</v>
      </c>
      <c r="F12" s="2" t="s">
        <v>63</v>
      </c>
      <c r="G12" s="3" t="s">
        <v>14</v>
      </c>
      <c r="H12" s="2" t="s">
        <v>73</v>
      </c>
      <c r="I12" s="3" t="s">
        <v>14</v>
      </c>
      <c r="J12" s="2" t="s">
        <v>74</v>
      </c>
      <c r="K12" s="4" t="str">
        <f t="shared" si="0"/>
        <v>4Y / 0N</v>
      </c>
      <c r="L12" s="2" t="s">
        <v>19</v>
      </c>
      <c r="M12" s="2"/>
    </row>
    <row r="13" spans="1:13" ht="98.1" customHeight="1" x14ac:dyDescent="0.2">
      <c r="A13" s="2" t="s">
        <v>75</v>
      </c>
      <c r="B13" s="3" t="s">
        <v>14</v>
      </c>
      <c r="C13" s="3" t="s">
        <v>14</v>
      </c>
      <c r="D13" s="2" t="s">
        <v>76</v>
      </c>
      <c r="E13" s="3" t="s">
        <v>14</v>
      </c>
      <c r="F13" s="2" t="s">
        <v>63</v>
      </c>
      <c r="G13" s="3" t="s">
        <v>14</v>
      </c>
      <c r="H13" s="2" t="s">
        <v>77</v>
      </c>
      <c r="I13" s="3" t="s">
        <v>14</v>
      </c>
      <c r="J13" s="2" t="s">
        <v>78</v>
      </c>
      <c r="K13" s="4" t="str">
        <f t="shared" si="0"/>
        <v>4Y / 0N</v>
      </c>
      <c r="L13" s="2" t="s">
        <v>19</v>
      </c>
      <c r="M13" s="2"/>
    </row>
    <row r="14" spans="1:13" ht="98.1" customHeight="1" x14ac:dyDescent="0.2">
      <c r="A14" s="2" t="s">
        <v>79</v>
      </c>
      <c r="B14" s="3" t="s">
        <v>14</v>
      </c>
      <c r="C14" s="3" t="s">
        <v>14</v>
      </c>
      <c r="D14" s="2" t="s">
        <v>72</v>
      </c>
      <c r="E14" s="3" t="s">
        <v>14</v>
      </c>
      <c r="F14" s="2" t="s">
        <v>63</v>
      </c>
      <c r="G14" s="3" t="s">
        <v>14</v>
      </c>
      <c r="H14" s="2" t="s">
        <v>80</v>
      </c>
      <c r="I14" s="3" t="s">
        <v>14</v>
      </c>
      <c r="J14" s="2" t="s">
        <v>81</v>
      </c>
      <c r="K14" s="4" t="str">
        <f t="shared" si="0"/>
        <v>4Y / 0N</v>
      </c>
      <c r="L14" s="2" t="s">
        <v>19</v>
      </c>
      <c r="M14" s="2"/>
    </row>
    <row r="15" spans="1:13" ht="98.1" customHeight="1" x14ac:dyDescent="0.2">
      <c r="A15" s="2" t="s">
        <v>82</v>
      </c>
      <c r="B15" s="3" t="s">
        <v>24</v>
      </c>
      <c r="C15" s="3" t="s">
        <v>24</v>
      </c>
      <c r="D15" s="2" t="s">
        <v>83</v>
      </c>
      <c r="E15" s="3" t="s">
        <v>24</v>
      </c>
      <c r="F15" s="2" t="s">
        <v>84</v>
      </c>
      <c r="G15" s="3" t="s">
        <v>24</v>
      </c>
      <c r="H15" s="2" t="s">
        <v>85</v>
      </c>
      <c r="I15" s="3" t="s">
        <v>24</v>
      </c>
      <c r="J15" s="2" t="s">
        <v>86</v>
      </c>
      <c r="K15" s="4" t="str">
        <f t="shared" si="0"/>
        <v>0Y / 4N</v>
      </c>
      <c r="L15" s="2" t="s">
        <v>19</v>
      </c>
      <c r="M15" s="2"/>
    </row>
    <row r="16" spans="1:13" ht="98.1" customHeight="1" x14ac:dyDescent="0.2">
      <c r="A16" s="2" t="s">
        <v>87</v>
      </c>
      <c r="B16" s="3" t="s">
        <v>14</v>
      </c>
      <c r="C16" s="3" t="s">
        <v>14</v>
      </c>
      <c r="D16" s="2" t="s">
        <v>72</v>
      </c>
      <c r="E16" s="3" t="s">
        <v>14</v>
      </c>
      <c r="F16" s="2" t="s">
        <v>88</v>
      </c>
      <c r="G16" s="3" t="s">
        <v>14</v>
      </c>
      <c r="H16" s="2" t="s">
        <v>89</v>
      </c>
      <c r="I16" s="3" t="s">
        <v>14</v>
      </c>
      <c r="J16" s="2" t="s">
        <v>90</v>
      </c>
      <c r="K16" s="4" t="str">
        <f t="shared" si="0"/>
        <v>4Y / 0N</v>
      </c>
      <c r="L16" s="2" t="s">
        <v>19</v>
      </c>
      <c r="M16" s="2"/>
    </row>
    <row r="17" spans="1:13" ht="98.1" customHeight="1" x14ac:dyDescent="0.2">
      <c r="A17" s="2" t="s">
        <v>91</v>
      </c>
      <c r="B17" s="3" t="s">
        <v>14</v>
      </c>
      <c r="C17" s="3" t="s">
        <v>14</v>
      </c>
      <c r="D17" s="2" t="s">
        <v>72</v>
      </c>
      <c r="E17" s="3" t="s">
        <v>14</v>
      </c>
      <c r="F17" s="2" t="s">
        <v>63</v>
      </c>
      <c r="G17" s="3" t="s">
        <v>14</v>
      </c>
      <c r="H17" s="2" t="s">
        <v>92</v>
      </c>
      <c r="I17" s="3" t="s">
        <v>14</v>
      </c>
      <c r="J17" s="2" t="s">
        <v>93</v>
      </c>
      <c r="K17" s="4" t="str">
        <f t="shared" si="0"/>
        <v>4Y / 0N</v>
      </c>
      <c r="L17" s="2" t="s">
        <v>19</v>
      </c>
      <c r="M17" s="2"/>
    </row>
    <row r="18" spans="1:13" ht="98.1" customHeight="1" x14ac:dyDescent="0.2">
      <c r="A18" s="2" t="s">
        <v>94</v>
      </c>
      <c r="B18" s="3" t="s">
        <v>14</v>
      </c>
      <c r="C18" s="3" t="s">
        <v>14</v>
      </c>
      <c r="D18" s="2" t="s">
        <v>72</v>
      </c>
      <c r="E18" s="3" t="s">
        <v>14</v>
      </c>
      <c r="F18" s="2" t="s">
        <v>63</v>
      </c>
      <c r="G18" s="3" t="s">
        <v>14</v>
      </c>
      <c r="H18" s="2" t="s">
        <v>95</v>
      </c>
      <c r="I18" s="3" t="s">
        <v>14</v>
      </c>
      <c r="J18" s="2" t="s">
        <v>96</v>
      </c>
      <c r="K18" s="4" t="str">
        <f t="shared" si="0"/>
        <v>4Y / 0N</v>
      </c>
      <c r="L18" s="2" t="s">
        <v>19</v>
      </c>
      <c r="M18" s="2"/>
    </row>
    <row r="19" spans="1:13" ht="98.1" customHeight="1" x14ac:dyDescent="0.2">
      <c r="A19" s="2" t="s">
        <v>97</v>
      </c>
      <c r="B19" s="3" t="s">
        <v>14</v>
      </c>
      <c r="C19" s="3" t="s">
        <v>14</v>
      </c>
      <c r="D19" s="2" t="s">
        <v>72</v>
      </c>
      <c r="E19" s="3" t="s">
        <v>14</v>
      </c>
      <c r="F19" s="2" t="s">
        <v>98</v>
      </c>
      <c r="G19" s="3" t="s">
        <v>14</v>
      </c>
      <c r="H19" s="2" t="s">
        <v>99</v>
      </c>
      <c r="I19" s="3" t="s">
        <v>14</v>
      </c>
      <c r="J19" s="2" t="s">
        <v>100</v>
      </c>
      <c r="K19" s="4" t="str">
        <f t="shared" si="0"/>
        <v>4Y / 0N</v>
      </c>
      <c r="L19" s="2" t="s">
        <v>19</v>
      </c>
      <c r="M19" s="2"/>
    </row>
    <row r="20" spans="1:13" ht="98.1" customHeight="1" x14ac:dyDescent="0.2">
      <c r="A20" s="2" t="s">
        <v>101</v>
      </c>
      <c r="B20" s="3" t="s">
        <v>14</v>
      </c>
      <c r="C20" s="3" t="s">
        <v>24</v>
      </c>
      <c r="D20" s="2" t="s">
        <v>102</v>
      </c>
      <c r="E20" s="3" t="s">
        <v>14</v>
      </c>
      <c r="F20" s="2" t="s">
        <v>98</v>
      </c>
      <c r="G20" s="3" t="s">
        <v>14</v>
      </c>
      <c r="H20" s="2" t="s">
        <v>99</v>
      </c>
      <c r="I20" s="3" t="s">
        <v>14</v>
      </c>
      <c r="J20" s="2" t="s">
        <v>103</v>
      </c>
      <c r="K20" s="4" t="str">
        <f t="shared" si="0"/>
        <v>3Y / 1N</v>
      </c>
      <c r="L20" s="2" t="s">
        <v>38</v>
      </c>
      <c r="M20" s="2" t="s">
        <v>104</v>
      </c>
    </row>
    <row r="21" spans="1:13" ht="98.1" customHeight="1" x14ac:dyDescent="0.2">
      <c r="A21" s="2" t="s">
        <v>105</v>
      </c>
      <c r="B21" s="3" t="s">
        <v>14</v>
      </c>
      <c r="C21" s="3" t="s">
        <v>24</v>
      </c>
      <c r="D21" s="2" t="s">
        <v>106</v>
      </c>
      <c r="E21" s="3" t="s">
        <v>14</v>
      </c>
      <c r="F21" s="2" t="s">
        <v>107</v>
      </c>
      <c r="G21" s="3" t="s">
        <v>14</v>
      </c>
      <c r="H21" s="2" t="s">
        <v>108</v>
      </c>
      <c r="I21" s="3" t="s">
        <v>14</v>
      </c>
      <c r="J21" s="2" t="s">
        <v>109</v>
      </c>
      <c r="K21" s="4" t="str">
        <f t="shared" si="0"/>
        <v>3Y / 1N</v>
      </c>
      <c r="L21" s="2" t="s">
        <v>38</v>
      </c>
      <c r="M21" s="2" t="s">
        <v>110</v>
      </c>
    </row>
    <row r="22" spans="1:13" ht="98.1" customHeight="1" x14ac:dyDescent="0.2">
      <c r="A22" s="2" t="s">
        <v>111</v>
      </c>
      <c r="B22" s="3" t="s">
        <v>14</v>
      </c>
      <c r="C22" s="3" t="s">
        <v>14</v>
      </c>
      <c r="D22" s="2" t="s">
        <v>112</v>
      </c>
      <c r="E22" s="3" t="s">
        <v>14</v>
      </c>
      <c r="F22" s="2" t="s">
        <v>113</v>
      </c>
      <c r="G22" s="3" t="s">
        <v>14</v>
      </c>
      <c r="H22" s="2" t="s">
        <v>92</v>
      </c>
      <c r="I22" s="3" t="s">
        <v>14</v>
      </c>
      <c r="J22" s="2" t="s">
        <v>114</v>
      </c>
      <c r="K22" s="4" t="str">
        <f t="shared" si="0"/>
        <v>4Y / 0N</v>
      </c>
      <c r="L22" s="2" t="s">
        <v>19</v>
      </c>
      <c r="M22" s="2"/>
    </row>
    <row r="23" spans="1:13" ht="98.1" customHeight="1" x14ac:dyDescent="0.2">
      <c r="A23" s="2" t="s">
        <v>115</v>
      </c>
      <c r="B23" s="3" t="s">
        <v>14</v>
      </c>
      <c r="C23" s="3" t="s">
        <v>24</v>
      </c>
      <c r="D23" s="2" t="s">
        <v>116</v>
      </c>
      <c r="E23" s="3" t="s">
        <v>14</v>
      </c>
      <c r="F23" s="2" t="s">
        <v>117</v>
      </c>
      <c r="G23" s="3" t="s">
        <v>14</v>
      </c>
      <c r="H23" s="2" t="s">
        <v>118</v>
      </c>
      <c r="I23" s="3" t="s">
        <v>14</v>
      </c>
      <c r="J23" s="2" t="s">
        <v>119</v>
      </c>
      <c r="K23" s="4" t="str">
        <f t="shared" si="0"/>
        <v>3Y / 1N</v>
      </c>
      <c r="L23" s="2" t="s">
        <v>26</v>
      </c>
      <c r="M23" s="2" t="s">
        <v>120</v>
      </c>
    </row>
    <row r="24" spans="1:13" ht="98.1" customHeight="1" x14ac:dyDescent="0.2">
      <c r="A24" s="2" t="s">
        <v>121</v>
      </c>
      <c r="B24" s="3" t="s">
        <v>14</v>
      </c>
      <c r="C24" s="3" t="s">
        <v>14</v>
      </c>
      <c r="D24" s="2" t="s">
        <v>68</v>
      </c>
      <c r="E24" s="3" t="s">
        <v>14</v>
      </c>
      <c r="F24" s="2" t="s">
        <v>98</v>
      </c>
      <c r="G24" s="3" t="s">
        <v>14</v>
      </c>
      <c r="H24" s="2" t="s">
        <v>99</v>
      </c>
      <c r="I24" s="3" t="s">
        <v>14</v>
      </c>
      <c r="J24" s="2" t="s">
        <v>122</v>
      </c>
      <c r="K24" s="4" t="str">
        <f t="shared" si="0"/>
        <v>4Y / 0N</v>
      </c>
      <c r="L24" s="2" t="s">
        <v>19</v>
      </c>
      <c r="M24" s="2"/>
    </row>
    <row r="25" spans="1:13" ht="98.1" customHeight="1" x14ac:dyDescent="0.2">
      <c r="A25" s="2" t="s">
        <v>123</v>
      </c>
      <c r="B25" s="3" t="s">
        <v>24</v>
      </c>
      <c r="C25" s="3" t="s">
        <v>24</v>
      </c>
      <c r="D25" s="2" t="s">
        <v>124</v>
      </c>
      <c r="E25" s="3" t="s">
        <v>24</v>
      </c>
      <c r="F25" s="2" t="s">
        <v>125</v>
      </c>
      <c r="G25" s="3" t="s">
        <v>24</v>
      </c>
      <c r="H25" s="2" t="s">
        <v>126</v>
      </c>
      <c r="I25" s="3" t="s">
        <v>24</v>
      </c>
      <c r="J25" s="2" t="s">
        <v>127</v>
      </c>
      <c r="K25" s="4" t="str">
        <f t="shared" si="0"/>
        <v>0Y / 4N</v>
      </c>
      <c r="L25" s="2" t="s">
        <v>19</v>
      </c>
      <c r="M25" s="2"/>
    </row>
    <row r="26" spans="1:13" ht="98.1" customHeight="1" x14ac:dyDescent="0.2">
      <c r="A26" s="2" t="s">
        <v>128</v>
      </c>
      <c r="B26" s="3" t="s">
        <v>24</v>
      </c>
      <c r="C26" s="3" t="s">
        <v>24</v>
      </c>
      <c r="D26" s="2" t="s">
        <v>106</v>
      </c>
      <c r="E26" s="3" t="s">
        <v>24</v>
      </c>
      <c r="F26" s="2" t="s">
        <v>129</v>
      </c>
      <c r="G26" s="3" t="s">
        <v>24</v>
      </c>
      <c r="H26" s="2" t="s">
        <v>130</v>
      </c>
      <c r="I26" s="3" t="s">
        <v>24</v>
      </c>
      <c r="J26" s="2" t="s">
        <v>131</v>
      </c>
      <c r="K26" s="4" t="str">
        <f t="shared" si="0"/>
        <v>0Y / 4N</v>
      </c>
      <c r="L26" s="2" t="s">
        <v>19</v>
      </c>
      <c r="M26" s="2"/>
    </row>
    <row r="27" spans="1:13" ht="98.1" customHeight="1" x14ac:dyDescent="0.2">
      <c r="A27" s="2" t="s">
        <v>132</v>
      </c>
      <c r="B27" s="3" t="s">
        <v>14</v>
      </c>
      <c r="C27" s="3" t="s">
        <v>14</v>
      </c>
      <c r="D27" s="2" t="s">
        <v>57</v>
      </c>
      <c r="E27" s="3" t="s">
        <v>14</v>
      </c>
      <c r="F27" s="2" t="s">
        <v>98</v>
      </c>
      <c r="G27" s="3" t="s">
        <v>14</v>
      </c>
      <c r="H27" s="2" t="s">
        <v>133</v>
      </c>
      <c r="I27" s="3" t="s">
        <v>14</v>
      </c>
      <c r="J27" s="2" t="s">
        <v>134</v>
      </c>
      <c r="K27" s="4" t="str">
        <f t="shared" si="0"/>
        <v>4Y / 0N</v>
      </c>
      <c r="L27" s="2" t="s">
        <v>19</v>
      </c>
      <c r="M27" s="2"/>
    </row>
    <row r="28" spans="1:13" ht="98.1" customHeight="1" x14ac:dyDescent="0.2">
      <c r="A28" s="2" t="s">
        <v>135</v>
      </c>
      <c r="B28" s="3" t="s">
        <v>14</v>
      </c>
      <c r="C28" s="3" t="s">
        <v>14</v>
      </c>
      <c r="D28" s="2" t="s">
        <v>136</v>
      </c>
      <c r="E28" s="3" t="s">
        <v>14</v>
      </c>
      <c r="F28" s="2" t="s">
        <v>98</v>
      </c>
      <c r="G28" s="3" t="s">
        <v>14</v>
      </c>
      <c r="H28" s="2" t="s">
        <v>133</v>
      </c>
      <c r="I28" s="3" t="s">
        <v>14</v>
      </c>
      <c r="J28" s="2" t="s">
        <v>137</v>
      </c>
      <c r="K28" s="4" t="str">
        <f t="shared" si="0"/>
        <v>4Y / 0N</v>
      </c>
      <c r="L28" s="2" t="s">
        <v>19</v>
      </c>
      <c r="M28" s="2"/>
    </row>
    <row r="29" spans="1:13" ht="98.1" customHeight="1" x14ac:dyDescent="0.2">
      <c r="A29" s="2" t="s">
        <v>138</v>
      </c>
      <c r="B29" s="3" t="s">
        <v>24</v>
      </c>
      <c r="C29" s="3" t="s">
        <v>24</v>
      </c>
      <c r="D29" s="2" t="s">
        <v>139</v>
      </c>
      <c r="E29" s="3" t="s">
        <v>24</v>
      </c>
      <c r="F29" s="2" t="s">
        <v>140</v>
      </c>
      <c r="G29" s="3" t="s">
        <v>24</v>
      </c>
      <c r="H29" s="2" t="s">
        <v>130</v>
      </c>
      <c r="I29" s="3" t="s">
        <v>14</v>
      </c>
      <c r="J29" s="2" t="s">
        <v>141</v>
      </c>
      <c r="K29" s="4" t="str">
        <f t="shared" si="0"/>
        <v>1Y / 3N</v>
      </c>
      <c r="L29" s="2" t="s">
        <v>38</v>
      </c>
      <c r="M29" s="2" t="s">
        <v>66</v>
      </c>
    </row>
    <row r="30" spans="1:13" ht="98.1" customHeight="1" x14ac:dyDescent="0.2">
      <c r="A30" s="2" t="s">
        <v>142</v>
      </c>
      <c r="B30" s="3" t="s">
        <v>14</v>
      </c>
      <c r="C30" s="3" t="s">
        <v>24</v>
      </c>
      <c r="D30" s="2" t="s">
        <v>143</v>
      </c>
      <c r="E30" s="3" t="s">
        <v>14</v>
      </c>
      <c r="F30" s="2" t="s">
        <v>144</v>
      </c>
      <c r="G30" s="3" t="s">
        <v>14</v>
      </c>
      <c r="H30" s="2" t="s">
        <v>145</v>
      </c>
      <c r="I30" s="3" t="s">
        <v>14</v>
      </c>
      <c r="J30" s="2" t="s">
        <v>146</v>
      </c>
      <c r="K30" s="4" t="str">
        <f t="shared" si="0"/>
        <v>3Y / 1N</v>
      </c>
      <c r="L30" s="2" t="s">
        <v>26</v>
      </c>
      <c r="M30" s="2" t="s">
        <v>120</v>
      </c>
    </row>
    <row r="31" spans="1:13" ht="98.1" customHeight="1" x14ac:dyDescent="0.2">
      <c r="A31" s="2" t="s">
        <v>147</v>
      </c>
      <c r="B31" s="3" t="s">
        <v>24</v>
      </c>
      <c r="C31" s="3" t="s">
        <v>24</v>
      </c>
      <c r="D31" s="2" t="s">
        <v>62</v>
      </c>
      <c r="E31" s="3" t="s">
        <v>24</v>
      </c>
      <c r="F31" s="2" t="s">
        <v>148</v>
      </c>
      <c r="G31" s="3" t="s">
        <v>24</v>
      </c>
      <c r="H31" s="2" t="s">
        <v>149</v>
      </c>
      <c r="I31" s="3" t="s">
        <v>14</v>
      </c>
      <c r="J31" s="2" t="s">
        <v>150</v>
      </c>
      <c r="K31" s="4" t="str">
        <f t="shared" si="0"/>
        <v>1Y / 3N</v>
      </c>
      <c r="L31" s="2" t="s">
        <v>151</v>
      </c>
      <c r="M31" s="2" t="s">
        <v>152</v>
      </c>
    </row>
    <row r="32" spans="1:13" ht="98.1" customHeight="1" x14ac:dyDescent="0.2">
      <c r="A32" s="2" t="s">
        <v>153</v>
      </c>
      <c r="B32" s="3" t="s">
        <v>24</v>
      </c>
      <c r="C32" s="3" t="s">
        <v>24</v>
      </c>
      <c r="D32" s="2" t="s">
        <v>154</v>
      </c>
      <c r="E32" s="3" t="s">
        <v>24</v>
      </c>
      <c r="F32" s="2" t="s">
        <v>155</v>
      </c>
      <c r="G32" s="3" t="s">
        <v>24</v>
      </c>
      <c r="H32" s="2" t="s">
        <v>149</v>
      </c>
      <c r="I32" s="3" t="s">
        <v>14</v>
      </c>
      <c r="J32" s="2" t="s">
        <v>156</v>
      </c>
      <c r="K32" s="4" t="str">
        <f t="shared" si="0"/>
        <v>1Y / 3N</v>
      </c>
      <c r="L32" s="2" t="s">
        <v>151</v>
      </c>
      <c r="M32" s="2" t="s">
        <v>157</v>
      </c>
    </row>
    <row r="33" spans="1:13" ht="98.1" customHeight="1" x14ac:dyDescent="0.2">
      <c r="A33" s="2" t="s">
        <v>158</v>
      </c>
      <c r="B33" s="3" t="s">
        <v>14</v>
      </c>
      <c r="C33" s="3" t="s">
        <v>24</v>
      </c>
      <c r="D33" s="2" t="s">
        <v>159</v>
      </c>
      <c r="E33" s="3" t="s">
        <v>14</v>
      </c>
      <c r="F33" s="2" t="s">
        <v>98</v>
      </c>
      <c r="G33" s="3" t="s">
        <v>14</v>
      </c>
      <c r="H33" s="2" t="s">
        <v>160</v>
      </c>
      <c r="I33" s="3" t="s">
        <v>24</v>
      </c>
      <c r="J33" s="2" t="s">
        <v>161</v>
      </c>
      <c r="K33" s="4" t="str">
        <f t="shared" si="0"/>
        <v>2Y / 2N</v>
      </c>
      <c r="L33" s="2" t="s">
        <v>38</v>
      </c>
      <c r="M33" s="2" t="s">
        <v>27</v>
      </c>
    </row>
    <row r="34" spans="1:13" ht="98.1" customHeight="1" x14ac:dyDescent="0.2">
      <c r="A34" s="2" t="s">
        <v>162</v>
      </c>
      <c r="B34" s="3" t="s">
        <v>14</v>
      </c>
      <c r="C34" s="3" t="s">
        <v>14</v>
      </c>
      <c r="D34" s="2" t="s">
        <v>159</v>
      </c>
      <c r="E34" s="3" t="s">
        <v>14</v>
      </c>
      <c r="F34" s="2" t="s">
        <v>98</v>
      </c>
      <c r="G34" s="3" t="s">
        <v>14</v>
      </c>
      <c r="H34" s="2" t="s">
        <v>133</v>
      </c>
      <c r="I34" s="3" t="s">
        <v>14</v>
      </c>
      <c r="J34" s="2" t="s">
        <v>163</v>
      </c>
      <c r="K34" s="4" t="str">
        <f t="shared" si="0"/>
        <v>4Y / 0N</v>
      </c>
      <c r="L34" s="2" t="s">
        <v>19</v>
      </c>
      <c r="M34" s="2"/>
    </row>
    <row r="35" spans="1:13" ht="98.1" customHeight="1" x14ac:dyDescent="0.2">
      <c r="A35" s="2" t="s">
        <v>164</v>
      </c>
      <c r="B35" s="3" t="s">
        <v>14</v>
      </c>
      <c r="C35" s="3" t="s">
        <v>24</v>
      </c>
      <c r="D35" s="2" t="s">
        <v>165</v>
      </c>
      <c r="E35" s="3" t="s">
        <v>14</v>
      </c>
      <c r="F35" s="2" t="s">
        <v>98</v>
      </c>
      <c r="G35" s="3" t="s">
        <v>14</v>
      </c>
      <c r="H35" s="2" t="s">
        <v>166</v>
      </c>
      <c r="I35" s="3" t="s">
        <v>14</v>
      </c>
      <c r="J35" s="2" t="s">
        <v>167</v>
      </c>
      <c r="K35" s="4" t="str">
        <f t="shared" si="0"/>
        <v>3Y / 1N</v>
      </c>
      <c r="L35" s="2" t="s">
        <v>38</v>
      </c>
      <c r="M35" s="2" t="s">
        <v>27</v>
      </c>
    </row>
    <row r="36" spans="1:13" ht="98.1" customHeight="1" x14ac:dyDescent="0.2">
      <c r="A36" s="2" t="s">
        <v>168</v>
      </c>
      <c r="B36" s="3" t="s">
        <v>14</v>
      </c>
      <c r="C36" s="3" t="s">
        <v>14</v>
      </c>
      <c r="D36" s="2" t="s">
        <v>169</v>
      </c>
      <c r="E36" s="3" t="s">
        <v>14</v>
      </c>
      <c r="F36" s="2" t="s">
        <v>170</v>
      </c>
      <c r="G36" s="3" t="s">
        <v>14</v>
      </c>
      <c r="H36" s="2" t="s">
        <v>166</v>
      </c>
      <c r="I36" s="3" t="s">
        <v>14</v>
      </c>
      <c r="J36" s="2" t="s">
        <v>171</v>
      </c>
      <c r="K36" s="4" t="str">
        <f t="shared" si="0"/>
        <v>4Y / 0N</v>
      </c>
      <c r="L36" s="2" t="s">
        <v>19</v>
      </c>
      <c r="M36" s="2"/>
    </row>
    <row r="37" spans="1:13" ht="98.1" customHeight="1" x14ac:dyDescent="0.2">
      <c r="A37" s="2" t="s">
        <v>172</v>
      </c>
      <c r="B37" s="3" t="s">
        <v>24</v>
      </c>
      <c r="C37" s="3" t="s">
        <v>24</v>
      </c>
      <c r="D37" s="2" t="s">
        <v>173</v>
      </c>
      <c r="E37" s="3" t="s">
        <v>24</v>
      </c>
      <c r="F37" s="2" t="s">
        <v>174</v>
      </c>
      <c r="G37" s="3" t="s">
        <v>24</v>
      </c>
      <c r="H37" s="2" t="s">
        <v>126</v>
      </c>
      <c r="I37" s="3" t="s">
        <v>24</v>
      </c>
      <c r="J37" s="2" t="s">
        <v>175</v>
      </c>
      <c r="K37" s="4" t="str">
        <f t="shared" si="0"/>
        <v>0Y / 4N</v>
      </c>
      <c r="L37" s="2" t="s">
        <v>19</v>
      </c>
      <c r="M37" s="2"/>
    </row>
    <row r="38" spans="1:13" ht="98.1" customHeight="1" x14ac:dyDescent="0.2">
      <c r="A38" s="2" t="s">
        <v>176</v>
      </c>
      <c r="B38" s="3" t="s">
        <v>14</v>
      </c>
      <c r="C38" s="3" t="s">
        <v>14</v>
      </c>
      <c r="D38" s="2" t="s">
        <v>177</v>
      </c>
      <c r="E38" s="3" t="s">
        <v>24</v>
      </c>
      <c r="F38" s="2" t="s">
        <v>178</v>
      </c>
      <c r="G38" s="3" t="s">
        <v>24</v>
      </c>
      <c r="H38" s="2" t="s">
        <v>179</v>
      </c>
      <c r="I38" s="3" t="s">
        <v>14</v>
      </c>
      <c r="J38" s="2" t="s">
        <v>180</v>
      </c>
      <c r="K38" s="4" t="str">
        <f t="shared" si="0"/>
        <v>2Y / 2N</v>
      </c>
      <c r="L38" s="2" t="s">
        <v>38</v>
      </c>
      <c r="M38" s="2" t="s">
        <v>110</v>
      </c>
    </row>
    <row r="39" spans="1:13" ht="98.1" customHeight="1" x14ac:dyDescent="0.2">
      <c r="A39" s="2" t="s">
        <v>181</v>
      </c>
      <c r="B39" s="3" t="s">
        <v>24</v>
      </c>
      <c r="C39" s="3" t="s">
        <v>24</v>
      </c>
      <c r="D39" s="2" t="s">
        <v>182</v>
      </c>
      <c r="E39" s="3" t="s">
        <v>24</v>
      </c>
      <c r="F39" s="2" t="s">
        <v>183</v>
      </c>
      <c r="G39" s="3" t="s">
        <v>24</v>
      </c>
      <c r="H39" s="2" t="s">
        <v>184</v>
      </c>
      <c r="I39" s="3" t="s">
        <v>14</v>
      </c>
      <c r="J39" s="2" t="s">
        <v>185</v>
      </c>
      <c r="K39" s="4" t="str">
        <f t="shared" si="0"/>
        <v>1Y / 3N</v>
      </c>
      <c r="L39" s="2" t="s">
        <v>38</v>
      </c>
      <c r="M39" s="2" t="s">
        <v>186</v>
      </c>
    </row>
    <row r="40" spans="1:13" ht="98.1" customHeight="1" x14ac:dyDescent="0.2">
      <c r="A40" s="2" t="s">
        <v>187</v>
      </c>
      <c r="B40" s="3" t="s">
        <v>14</v>
      </c>
      <c r="C40" s="3" t="s">
        <v>14</v>
      </c>
      <c r="D40" s="2" t="s">
        <v>188</v>
      </c>
      <c r="E40" s="3" t="s">
        <v>14</v>
      </c>
      <c r="F40" s="2" t="s">
        <v>189</v>
      </c>
      <c r="G40" s="3" t="s">
        <v>14</v>
      </c>
      <c r="H40" s="2" t="s">
        <v>190</v>
      </c>
      <c r="I40" s="3" t="s">
        <v>14</v>
      </c>
      <c r="J40" s="2" t="s">
        <v>191</v>
      </c>
      <c r="K40" s="4" t="str">
        <f t="shared" si="0"/>
        <v>4Y / 0N</v>
      </c>
      <c r="L40" s="2" t="s">
        <v>19</v>
      </c>
      <c r="M40" s="2"/>
    </row>
    <row r="41" spans="1:13" ht="98.1" customHeight="1" x14ac:dyDescent="0.2">
      <c r="A41" s="2" t="s">
        <v>192</v>
      </c>
      <c r="B41" s="3" t="s">
        <v>14</v>
      </c>
      <c r="C41" s="3" t="s">
        <v>14</v>
      </c>
      <c r="D41" s="2" t="s">
        <v>193</v>
      </c>
      <c r="E41" s="3" t="s">
        <v>14</v>
      </c>
      <c r="F41" s="2" t="s">
        <v>194</v>
      </c>
      <c r="G41" s="3" t="s">
        <v>14</v>
      </c>
      <c r="H41" s="2" t="s">
        <v>195</v>
      </c>
      <c r="I41" s="3" t="s">
        <v>14</v>
      </c>
      <c r="J41" s="2" t="s">
        <v>196</v>
      </c>
      <c r="K41" s="4" t="str">
        <f t="shared" si="0"/>
        <v>4Y / 0N</v>
      </c>
      <c r="L41" s="2" t="s">
        <v>19</v>
      </c>
      <c r="M41" s="2"/>
    </row>
    <row r="42" spans="1:13" ht="98.1" customHeight="1" x14ac:dyDescent="0.2">
      <c r="A42" s="2" t="s">
        <v>197</v>
      </c>
      <c r="B42" s="3" t="s">
        <v>24</v>
      </c>
      <c r="C42" s="3" t="s">
        <v>24</v>
      </c>
      <c r="D42" s="2" t="s">
        <v>198</v>
      </c>
      <c r="E42" s="3" t="s">
        <v>14</v>
      </c>
      <c r="F42" s="2" t="s">
        <v>199</v>
      </c>
      <c r="G42" s="3" t="s">
        <v>24</v>
      </c>
      <c r="H42" s="2" t="s">
        <v>200</v>
      </c>
      <c r="I42" s="3" t="s">
        <v>24</v>
      </c>
      <c r="J42" s="2" t="s">
        <v>201</v>
      </c>
      <c r="K42" s="4" t="str">
        <f t="shared" si="0"/>
        <v>1Y / 3N</v>
      </c>
      <c r="L42" s="2" t="s">
        <v>38</v>
      </c>
      <c r="M42" s="2" t="s">
        <v>202</v>
      </c>
    </row>
    <row r="43" spans="1:13" ht="98.1" customHeight="1" x14ac:dyDescent="0.2">
      <c r="A43" s="2" t="s">
        <v>203</v>
      </c>
      <c r="B43" s="3" t="s">
        <v>24</v>
      </c>
      <c r="C43" s="3" t="s">
        <v>24</v>
      </c>
      <c r="D43" s="2" t="s">
        <v>204</v>
      </c>
      <c r="E43" s="3" t="s">
        <v>24</v>
      </c>
      <c r="F43" s="2" t="s">
        <v>205</v>
      </c>
      <c r="G43" s="3" t="s">
        <v>24</v>
      </c>
      <c r="H43" s="2" t="s">
        <v>206</v>
      </c>
      <c r="I43" s="3" t="s">
        <v>24</v>
      </c>
      <c r="J43" s="2" t="s">
        <v>207</v>
      </c>
      <c r="K43" s="4" t="str">
        <f t="shared" si="0"/>
        <v>0Y / 4N</v>
      </c>
      <c r="L43" s="2" t="s">
        <v>19</v>
      </c>
      <c r="M43" s="2"/>
    </row>
    <row r="44" spans="1:13" ht="98.1" customHeight="1" x14ac:dyDescent="0.2">
      <c r="A44" s="2" t="s">
        <v>208</v>
      </c>
      <c r="B44" s="3" t="s">
        <v>14</v>
      </c>
      <c r="C44" s="3" t="s">
        <v>14</v>
      </c>
      <c r="D44" s="2" t="s">
        <v>209</v>
      </c>
      <c r="E44" s="3" t="s">
        <v>14</v>
      </c>
      <c r="F44" s="2" t="s">
        <v>98</v>
      </c>
      <c r="G44" s="3" t="s">
        <v>14</v>
      </c>
      <c r="H44" s="2" t="s">
        <v>210</v>
      </c>
      <c r="I44" s="3" t="s">
        <v>14</v>
      </c>
      <c r="J44" s="2" t="s">
        <v>211</v>
      </c>
      <c r="K44" s="4" t="str">
        <f t="shared" si="0"/>
        <v>4Y / 0N</v>
      </c>
      <c r="L44" s="2" t="s">
        <v>19</v>
      </c>
      <c r="M44" s="2"/>
    </row>
    <row r="45" spans="1:13" ht="98.1" customHeight="1" x14ac:dyDescent="0.2">
      <c r="A45" s="2" t="s">
        <v>212</v>
      </c>
      <c r="B45" s="3" t="s">
        <v>24</v>
      </c>
      <c r="C45" s="3" t="s">
        <v>24</v>
      </c>
      <c r="D45" s="2" t="s">
        <v>213</v>
      </c>
      <c r="E45" s="3" t="s">
        <v>14</v>
      </c>
      <c r="F45" s="2" t="s">
        <v>214</v>
      </c>
      <c r="G45" s="3" t="s">
        <v>14</v>
      </c>
      <c r="H45" s="2" t="s">
        <v>215</v>
      </c>
      <c r="I45" s="3" t="s">
        <v>24</v>
      </c>
      <c r="J45" s="2" t="s">
        <v>216</v>
      </c>
      <c r="K45" s="4" t="str">
        <f t="shared" si="0"/>
        <v>2Y / 2N</v>
      </c>
      <c r="L45" s="2" t="s">
        <v>38</v>
      </c>
      <c r="M45" s="2" t="s">
        <v>217</v>
      </c>
    </row>
    <row r="46" spans="1:13" ht="98.1" customHeight="1" x14ac:dyDescent="0.2">
      <c r="A46" s="2" t="s">
        <v>218</v>
      </c>
      <c r="B46" s="3" t="s">
        <v>24</v>
      </c>
      <c r="C46" s="3" t="s">
        <v>24</v>
      </c>
      <c r="D46" s="2" t="s">
        <v>214</v>
      </c>
      <c r="E46" s="3" t="s">
        <v>24</v>
      </c>
      <c r="F46" s="2" t="s">
        <v>219</v>
      </c>
      <c r="G46" s="3" t="s">
        <v>24</v>
      </c>
      <c r="H46" s="2" t="s">
        <v>220</v>
      </c>
      <c r="I46" s="3" t="s">
        <v>24</v>
      </c>
      <c r="J46" s="2" t="s">
        <v>221</v>
      </c>
      <c r="K46" s="4" t="str">
        <f t="shared" si="0"/>
        <v>0Y / 4N</v>
      </c>
      <c r="L46" s="2" t="s">
        <v>19</v>
      </c>
      <c r="M46" s="2"/>
    </row>
    <row r="47" spans="1:13" ht="98.1" customHeight="1" x14ac:dyDescent="0.2">
      <c r="A47" s="2" t="s">
        <v>222</v>
      </c>
      <c r="B47" s="3" t="s">
        <v>24</v>
      </c>
      <c r="C47" s="3" t="s">
        <v>24</v>
      </c>
      <c r="D47" s="2" t="s">
        <v>85</v>
      </c>
      <c r="E47" s="3" t="s">
        <v>24</v>
      </c>
      <c r="F47" s="2" t="s">
        <v>223</v>
      </c>
      <c r="G47" s="3" t="s">
        <v>24</v>
      </c>
      <c r="H47" s="2" t="s">
        <v>206</v>
      </c>
      <c r="I47" s="3" t="s">
        <v>24</v>
      </c>
      <c r="J47" s="2" t="s">
        <v>224</v>
      </c>
      <c r="K47" s="4" t="str">
        <f t="shared" si="0"/>
        <v>0Y / 4N</v>
      </c>
      <c r="L47" s="2" t="s">
        <v>19</v>
      </c>
      <c r="M47" s="2"/>
    </row>
    <row r="48" spans="1:13" ht="98.1" customHeight="1" x14ac:dyDescent="0.2">
      <c r="A48" s="2" t="s">
        <v>225</v>
      </c>
      <c r="B48" s="3" t="s">
        <v>14</v>
      </c>
      <c r="C48" s="3" t="s">
        <v>14</v>
      </c>
      <c r="D48" s="2" t="s">
        <v>29</v>
      </c>
      <c r="E48" s="3" t="s">
        <v>14</v>
      </c>
      <c r="F48" s="2" t="s">
        <v>98</v>
      </c>
      <c r="G48" s="3" t="s">
        <v>14</v>
      </c>
      <c r="H48" s="2" t="s">
        <v>59</v>
      </c>
      <c r="I48" s="3" t="s">
        <v>14</v>
      </c>
      <c r="J48" s="2" t="s">
        <v>226</v>
      </c>
      <c r="K48" s="4" t="str">
        <f t="shared" si="0"/>
        <v>4Y / 0N</v>
      </c>
      <c r="L48" s="2" t="s">
        <v>19</v>
      </c>
      <c r="M48" s="2"/>
    </row>
    <row r="49" spans="1:13" ht="98.1" customHeight="1" x14ac:dyDescent="0.2">
      <c r="A49" s="2" t="s">
        <v>227</v>
      </c>
      <c r="B49" s="3" t="s">
        <v>24</v>
      </c>
      <c r="C49" s="3" t="s">
        <v>24</v>
      </c>
      <c r="D49" s="2" t="s">
        <v>228</v>
      </c>
      <c r="E49" s="3" t="s">
        <v>24</v>
      </c>
      <c r="F49" s="2" t="s">
        <v>229</v>
      </c>
      <c r="G49" s="3" t="s">
        <v>24</v>
      </c>
      <c r="H49" s="2" t="s">
        <v>230</v>
      </c>
      <c r="I49" s="3" t="s">
        <v>14</v>
      </c>
      <c r="J49" s="2" t="s">
        <v>231</v>
      </c>
      <c r="K49" s="4" t="str">
        <f t="shared" si="0"/>
        <v>1Y / 3N</v>
      </c>
      <c r="L49" s="2" t="s">
        <v>38</v>
      </c>
      <c r="M49" s="2" t="s">
        <v>66</v>
      </c>
    </row>
    <row r="50" spans="1:13" ht="98.1" customHeight="1" x14ac:dyDescent="0.2">
      <c r="A50" s="2" t="s">
        <v>232</v>
      </c>
      <c r="B50" s="3" t="s">
        <v>14</v>
      </c>
      <c r="C50" s="3" t="s">
        <v>14</v>
      </c>
      <c r="D50" s="2" t="s">
        <v>193</v>
      </c>
      <c r="E50" s="3" t="s">
        <v>14</v>
      </c>
      <c r="F50" s="2" t="s">
        <v>233</v>
      </c>
      <c r="G50" s="3" t="s">
        <v>14</v>
      </c>
      <c r="H50" s="2" t="s">
        <v>234</v>
      </c>
      <c r="I50" s="3" t="s">
        <v>14</v>
      </c>
      <c r="J50" s="2" t="s">
        <v>235</v>
      </c>
      <c r="K50" s="4" t="str">
        <f t="shared" si="0"/>
        <v>4Y / 0N</v>
      </c>
      <c r="L50" s="2" t="s">
        <v>19</v>
      </c>
      <c r="M50" s="2"/>
    </row>
    <row r="51" spans="1:13" ht="98.1" customHeight="1" x14ac:dyDescent="0.2">
      <c r="A51" s="2" t="s">
        <v>236</v>
      </c>
      <c r="B51" s="3" t="s">
        <v>14</v>
      </c>
      <c r="C51" s="3" t="s">
        <v>14</v>
      </c>
      <c r="D51" s="2" t="s">
        <v>237</v>
      </c>
      <c r="E51" s="3" t="s">
        <v>14</v>
      </c>
      <c r="F51" s="2" t="s">
        <v>98</v>
      </c>
      <c r="G51" s="3" t="s">
        <v>14</v>
      </c>
      <c r="H51" s="2" t="s">
        <v>238</v>
      </c>
      <c r="I51" s="3" t="s">
        <v>14</v>
      </c>
      <c r="J51" s="2" t="s">
        <v>235</v>
      </c>
      <c r="K51" s="4" t="str">
        <f t="shared" si="0"/>
        <v>4Y / 0N</v>
      </c>
      <c r="L51" s="2" t="s">
        <v>19</v>
      </c>
      <c r="M51" s="2"/>
    </row>
    <row r="52" spans="1:13" ht="98.1" customHeight="1" x14ac:dyDescent="0.2">
      <c r="A52" s="2" t="s">
        <v>239</v>
      </c>
      <c r="B52" s="3" t="s">
        <v>24</v>
      </c>
      <c r="C52" s="3" t="s">
        <v>24</v>
      </c>
      <c r="D52" s="2" t="s">
        <v>173</v>
      </c>
      <c r="E52" s="3" t="s">
        <v>24</v>
      </c>
      <c r="F52" s="2" t="s">
        <v>240</v>
      </c>
      <c r="G52" s="3" t="s">
        <v>24</v>
      </c>
      <c r="H52" s="2" t="s">
        <v>206</v>
      </c>
      <c r="I52" s="3" t="s">
        <v>24</v>
      </c>
      <c r="J52" s="2" t="s">
        <v>241</v>
      </c>
      <c r="K52" s="4" t="str">
        <f t="shared" si="0"/>
        <v>0Y / 4N</v>
      </c>
      <c r="L52" s="2" t="s">
        <v>19</v>
      </c>
      <c r="M52" s="2"/>
    </row>
    <row r="53" spans="1:13" ht="98.1" customHeight="1" x14ac:dyDescent="0.2">
      <c r="A53" s="2" t="s">
        <v>242</v>
      </c>
      <c r="B53" s="3" t="s">
        <v>14</v>
      </c>
      <c r="C53" s="3" t="s">
        <v>14</v>
      </c>
      <c r="D53" s="2" t="s">
        <v>243</v>
      </c>
      <c r="E53" s="3" t="s">
        <v>14</v>
      </c>
      <c r="F53" s="2" t="s">
        <v>244</v>
      </c>
      <c r="G53" s="3" t="s">
        <v>14</v>
      </c>
      <c r="H53" s="2" t="s">
        <v>245</v>
      </c>
      <c r="I53" s="3" t="s">
        <v>14</v>
      </c>
      <c r="J53" s="2" t="s">
        <v>246</v>
      </c>
      <c r="K53" s="4" t="str">
        <f t="shared" si="0"/>
        <v>4Y / 0N</v>
      </c>
      <c r="L53" s="2" t="s">
        <v>19</v>
      </c>
      <c r="M53" s="2"/>
    </row>
    <row r="54" spans="1:13" ht="98.1" customHeight="1" x14ac:dyDescent="0.2">
      <c r="A54" s="2" t="s">
        <v>247</v>
      </c>
      <c r="B54" s="3" t="s">
        <v>14</v>
      </c>
      <c r="C54" s="3" t="s">
        <v>14</v>
      </c>
      <c r="D54" s="2" t="s">
        <v>72</v>
      </c>
      <c r="E54" s="3" t="s">
        <v>14</v>
      </c>
      <c r="F54" s="2" t="s">
        <v>248</v>
      </c>
      <c r="G54" s="3" t="s">
        <v>14</v>
      </c>
      <c r="H54" s="2" t="s">
        <v>249</v>
      </c>
      <c r="I54" s="3" t="s">
        <v>14</v>
      </c>
      <c r="J54" s="2" t="s">
        <v>250</v>
      </c>
      <c r="K54" s="4" t="str">
        <f t="shared" si="0"/>
        <v>4Y / 0N</v>
      </c>
      <c r="L54" s="2" t="s">
        <v>19</v>
      </c>
      <c r="M54" s="2"/>
    </row>
    <row r="55" spans="1:13" ht="98.1" customHeight="1" x14ac:dyDescent="0.2">
      <c r="A55" s="2" t="s">
        <v>251</v>
      </c>
      <c r="B55" s="3" t="s">
        <v>14</v>
      </c>
      <c r="C55" s="3" t="s">
        <v>14</v>
      </c>
      <c r="D55" s="2" t="s">
        <v>252</v>
      </c>
      <c r="E55" s="3" t="s">
        <v>14</v>
      </c>
      <c r="F55" s="2" t="s">
        <v>98</v>
      </c>
      <c r="G55" s="3" t="s">
        <v>14</v>
      </c>
      <c r="H55" s="2" t="s">
        <v>253</v>
      </c>
      <c r="I55" s="3" t="s">
        <v>14</v>
      </c>
      <c r="J55" s="2" t="s">
        <v>254</v>
      </c>
      <c r="K55" s="4" t="str">
        <f t="shared" si="0"/>
        <v>4Y / 0N</v>
      </c>
      <c r="L55" s="2" t="s">
        <v>19</v>
      </c>
      <c r="M55" s="2"/>
    </row>
    <row r="56" spans="1:13" ht="98.1" customHeight="1" x14ac:dyDescent="0.2">
      <c r="A56" s="2" t="s">
        <v>255</v>
      </c>
      <c r="B56" s="3" t="s">
        <v>14</v>
      </c>
      <c r="C56" s="3" t="s">
        <v>14</v>
      </c>
      <c r="D56" s="2" t="s">
        <v>256</v>
      </c>
      <c r="E56" s="3" t="s">
        <v>14</v>
      </c>
      <c r="F56" s="2" t="s">
        <v>248</v>
      </c>
      <c r="G56" s="3" t="s">
        <v>14</v>
      </c>
      <c r="H56" s="2" t="s">
        <v>257</v>
      </c>
      <c r="I56" s="3" t="s">
        <v>14</v>
      </c>
      <c r="J56" s="2" t="s">
        <v>258</v>
      </c>
      <c r="K56" s="4" t="str">
        <f t="shared" si="0"/>
        <v>4Y / 0N</v>
      </c>
      <c r="L56" s="2" t="s">
        <v>19</v>
      </c>
      <c r="M56" s="2"/>
    </row>
    <row r="57" spans="1:13" ht="98.1" customHeight="1" x14ac:dyDescent="0.2">
      <c r="A57" s="2" t="s">
        <v>259</v>
      </c>
      <c r="B57" s="3" t="s">
        <v>14</v>
      </c>
      <c r="C57" s="3" t="s">
        <v>14</v>
      </c>
      <c r="D57" s="2" t="s">
        <v>260</v>
      </c>
      <c r="E57" s="3" t="s">
        <v>14</v>
      </c>
      <c r="F57" s="2" t="s">
        <v>248</v>
      </c>
      <c r="G57" s="3" t="s">
        <v>14</v>
      </c>
      <c r="H57" s="2" t="s">
        <v>253</v>
      </c>
      <c r="I57" s="3" t="s">
        <v>14</v>
      </c>
      <c r="J57" s="2" t="s">
        <v>261</v>
      </c>
      <c r="K57" s="4" t="str">
        <f t="shared" si="0"/>
        <v>4Y / 0N</v>
      </c>
      <c r="L57" s="2" t="s">
        <v>19</v>
      </c>
      <c r="M57" s="2"/>
    </row>
    <row r="58" spans="1:13" ht="98.1" customHeight="1" x14ac:dyDescent="0.2">
      <c r="A58" s="2" t="s">
        <v>262</v>
      </c>
      <c r="B58" s="3" t="s">
        <v>14</v>
      </c>
      <c r="C58" s="3" t="s">
        <v>14</v>
      </c>
      <c r="D58" s="2" t="s">
        <v>260</v>
      </c>
      <c r="E58" s="3" t="s">
        <v>14</v>
      </c>
      <c r="F58" s="2" t="s">
        <v>248</v>
      </c>
      <c r="G58" s="3" t="s">
        <v>14</v>
      </c>
      <c r="H58" s="2" t="s">
        <v>263</v>
      </c>
      <c r="I58" s="3" t="s">
        <v>14</v>
      </c>
      <c r="J58" s="2" t="s">
        <v>264</v>
      </c>
      <c r="K58" s="4" t="str">
        <f t="shared" si="0"/>
        <v>4Y / 0N</v>
      </c>
      <c r="L58" s="2" t="s">
        <v>19</v>
      </c>
      <c r="M58" s="2"/>
    </row>
    <row r="59" spans="1:13" ht="98.1" customHeight="1" x14ac:dyDescent="0.2">
      <c r="A59" s="2" t="s">
        <v>265</v>
      </c>
      <c r="B59" s="3" t="s">
        <v>24</v>
      </c>
      <c r="C59" s="3" t="s">
        <v>14</v>
      </c>
      <c r="D59" s="2" t="s">
        <v>260</v>
      </c>
      <c r="E59" s="3" t="s">
        <v>14</v>
      </c>
      <c r="F59" s="2" t="s">
        <v>266</v>
      </c>
      <c r="G59" s="3" t="s">
        <v>24</v>
      </c>
      <c r="H59" s="2" t="s">
        <v>200</v>
      </c>
      <c r="I59" s="3" t="s">
        <v>24</v>
      </c>
      <c r="J59" s="2" t="s">
        <v>267</v>
      </c>
      <c r="K59" s="4" t="str">
        <f t="shared" si="0"/>
        <v>2Y / 2N</v>
      </c>
      <c r="L59" s="2" t="s">
        <v>38</v>
      </c>
      <c r="M59" s="2" t="s">
        <v>202</v>
      </c>
    </row>
    <row r="60" spans="1:13" ht="98.1" customHeight="1" x14ac:dyDescent="0.2">
      <c r="A60" s="2" t="s">
        <v>268</v>
      </c>
      <c r="B60" s="3" t="s">
        <v>14</v>
      </c>
      <c r="C60" s="3" t="s">
        <v>14</v>
      </c>
      <c r="D60" s="2" t="s">
        <v>256</v>
      </c>
      <c r="E60" s="3" t="s">
        <v>14</v>
      </c>
      <c r="F60" s="2" t="s">
        <v>269</v>
      </c>
      <c r="G60" s="3" t="s">
        <v>24</v>
      </c>
      <c r="H60" s="2" t="s">
        <v>270</v>
      </c>
      <c r="I60" s="3" t="s">
        <v>14</v>
      </c>
      <c r="J60" s="2" t="s">
        <v>271</v>
      </c>
      <c r="K60" s="4" t="str">
        <f t="shared" si="0"/>
        <v>3Y / 1N</v>
      </c>
      <c r="L60" s="2" t="s">
        <v>38</v>
      </c>
      <c r="M60" s="2" t="s">
        <v>104</v>
      </c>
    </row>
    <row r="61" spans="1:13" ht="98.1" customHeight="1" x14ac:dyDescent="0.2">
      <c r="A61" s="2" t="s">
        <v>272</v>
      </c>
      <c r="B61" s="3" t="s">
        <v>14</v>
      </c>
      <c r="C61" s="3" t="s">
        <v>14</v>
      </c>
      <c r="D61" s="2" t="s">
        <v>260</v>
      </c>
      <c r="E61" s="3" t="s">
        <v>14</v>
      </c>
      <c r="F61" s="2" t="s">
        <v>248</v>
      </c>
      <c r="G61" s="3" t="s">
        <v>24</v>
      </c>
      <c r="H61" s="2" t="s">
        <v>126</v>
      </c>
      <c r="I61" s="3" t="s">
        <v>24</v>
      </c>
      <c r="J61" s="2" t="s">
        <v>273</v>
      </c>
      <c r="K61" s="4" t="str">
        <f t="shared" si="0"/>
        <v>2Y / 2N</v>
      </c>
      <c r="L61" s="2" t="s">
        <v>38</v>
      </c>
      <c r="M61" s="2" t="s">
        <v>274</v>
      </c>
    </row>
    <row r="62" spans="1:13" ht="98.1" customHeight="1" x14ac:dyDescent="0.2">
      <c r="A62" s="2" t="s">
        <v>275</v>
      </c>
      <c r="B62" s="3" t="s">
        <v>24</v>
      </c>
      <c r="C62" s="3" t="s">
        <v>14</v>
      </c>
      <c r="D62" s="2" t="s">
        <v>276</v>
      </c>
      <c r="E62" s="3" t="s">
        <v>14</v>
      </c>
      <c r="F62" s="2" t="s">
        <v>277</v>
      </c>
      <c r="G62" s="3" t="s">
        <v>24</v>
      </c>
      <c r="H62" s="2" t="s">
        <v>278</v>
      </c>
      <c r="I62" s="3" t="s">
        <v>24</v>
      </c>
      <c r="J62" s="2" t="s">
        <v>279</v>
      </c>
      <c r="K62" s="4" t="str">
        <f t="shared" si="0"/>
        <v>2Y / 2N</v>
      </c>
      <c r="L62" s="2" t="s">
        <v>38</v>
      </c>
      <c r="M62" s="2" t="s">
        <v>202</v>
      </c>
    </row>
    <row r="63" spans="1:13" ht="98.1" customHeight="1" x14ac:dyDescent="0.2">
      <c r="A63" s="2" t="s">
        <v>280</v>
      </c>
      <c r="B63" s="3" t="s">
        <v>14</v>
      </c>
      <c r="C63" s="3" t="s">
        <v>14</v>
      </c>
      <c r="D63" s="2" t="s">
        <v>260</v>
      </c>
      <c r="E63" s="3" t="s">
        <v>14</v>
      </c>
      <c r="F63" s="2" t="s">
        <v>248</v>
      </c>
      <c r="G63" s="3" t="s">
        <v>14</v>
      </c>
      <c r="H63" s="2" t="s">
        <v>281</v>
      </c>
      <c r="I63" s="3" t="s">
        <v>14</v>
      </c>
      <c r="J63" s="2" t="s">
        <v>282</v>
      </c>
      <c r="K63" s="4" t="str">
        <f t="shared" si="0"/>
        <v>4Y / 0N</v>
      </c>
      <c r="L63" s="2" t="s">
        <v>19</v>
      </c>
      <c r="M63" s="2"/>
    </row>
    <row r="64" spans="1:13" ht="98.1" customHeight="1" x14ac:dyDescent="0.2">
      <c r="A64" s="2" t="s">
        <v>283</v>
      </c>
      <c r="B64" s="3" t="s">
        <v>14</v>
      </c>
      <c r="C64" s="3" t="s">
        <v>14</v>
      </c>
      <c r="D64" s="2" t="s">
        <v>260</v>
      </c>
      <c r="E64" s="3" t="s">
        <v>14</v>
      </c>
      <c r="F64" s="2" t="s">
        <v>248</v>
      </c>
      <c r="G64" s="3" t="s">
        <v>14</v>
      </c>
      <c r="H64" s="2" t="s">
        <v>284</v>
      </c>
      <c r="I64" s="3" t="s">
        <v>14</v>
      </c>
      <c r="J64" s="2" t="s">
        <v>285</v>
      </c>
      <c r="K64" s="4" t="str">
        <f t="shared" si="0"/>
        <v>4Y / 0N</v>
      </c>
      <c r="L64" s="2" t="s">
        <v>19</v>
      </c>
      <c r="M64" s="2"/>
    </row>
    <row r="65" spans="1:13" ht="98.1" customHeight="1" x14ac:dyDescent="0.2">
      <c r="A65" s="2" t="s">
        <v>286</v>
      </c>
      <c r="B65" s="3" t="s">
        <v>14</v>
      </c>
      <c r="C65" s="3" t="s">
        <v>14</v>
      </c>
      <c r="D65" s="2" t="s">
        <v>260</v>
      </c>
      <c r="E65" s="3" t="s">
        <v>14</v>
      </c>
      <c r="F65" s="2" t="s">
        <v>248</v>
      </c>
      <c r="G65" s="3" t="s">
        <v>14</v>
      </c>
      <c r="H65" s="2" t="s">
        <v>287</v>
      </c>
      <c r="I65" s="3" t="s">
        <v>14</v>
      </c>
      <c r="J65" s="2" t="s">
        <v>288</v>
      </c>
      <c r="K65" s="4" t="str">
        <f t="shared" si="0"/>
        <v>4Y / 0N</v>
      </c>
      <c r="L65" s="2" t="s">
        <v>19</v>
      </c>
      <c r="M65" s="2"/>
    </row>
    <row r="66" spans="1:13" ht="98.1" customHeight="1" x14ac:dyDescent="0.2">
      <c r="A66" s="2" t="s">
        <v>289</v>
      </c>
      <c r="B66" s="3" t="s">
        <v>14</v>
      </c>
      <c r="C66" s="3" t="s">
        <v>14</v>
      </c>
      <c r="D66" s="2" t="s">
        <v>260</v>
      </c>
      <c r="E66" s="3" t="s">
        <v>14</v>
      </c>
      <c r="F66" s="2" t="s">
        <v>248</v>
      </c>
      <c r="G66" s="3" t="s">
        <v>14</v>
      </c>
      <c r="H66" s="2" t="s">
        <v>290</v>
      </c>
      <c r="I66" s="3" t="s">
        <v>14</v>
      </c>
      <c r="J66" s="2" t="s">
        <v>291</v>
      </c>
      <c r="K66" s="4" t="str">
        <f t="shared" ref="K66:K129" si="1">(COUNTIF(C66,"Y")+COUNTIF(E66,"Y")+COUNTIF(G66,"Y")+COUNTIF(I66,"Y"))&amp;"Y / "&amp;(COUNTIF(C66,"N")+COUNTIF(E66,"N")+COUNTIF(G66,"N")+COUNTIF(I66,"N"))&amp;"N"&amp;IF(4-(COUNTIF(C66,"Y")+COUNTIF(E66,"Y")+COUNTIF(G66,"Y")+COUNTIF(I66,"Y"))-(COUNTIF(C66,"N")+COUNTIF(E66,"N")+COUNTIF(G66,"N")+COUNTIF(I66,"N"))&gt;0," / "&amp;(4-(COUNTIF(C66,"Y")+COUNTIF(E66,"Y")+COUNTIF(G66,"Y")+COUNTIF(I66,"Y"))-(COUNTIF(C66,"N")+COUNTIF(E66,"N")+COUNTIF(G66,"N")+COUNTIF(I66,"N")))&amp;" ambiguous","")</f>
        <v>4Y / 0N</v>
      </c>
      <c r="L66" s="2" t="s">
        <v>19</v>
      </c>
      <c r="M66" s="2"/>
    </row>
    <row r="67" spans="1:13" ht="98.1" customHeight="1" x14ac:dyDescent="0.2">
      <c r="A67" s="2" t="s">
        <v>292</v>
      </c>
      <c r="B67" s="3" t="s">
        <v>14</v>
      </c>
      <c r="C67" s="3" t="s">
        <v>14</v>
      </c>
      <c r="D67" s="2" t="s">
        <v>260</v>
      </c>
      <c r="E67" s="3" t="s">
        <v>14</v>
      </c>
      <c r="F67" s="2" t="s">
        <v>248</v>
      </c>
      <c r="G67" s="3" t="s">
        <v>14</v>
      </c>
      <c r="H67" s="2" t="s">
        <v>293</v>
      </c>
      <c r="I67" s="3" t="s">
        <v>14</v>
      </c>
      <c r="J67" s="2" t="s">
        <v>294</v>
      </c>
      <c r="K67" s="4" t="str">
        <f t="shared" si="1"/>
        <v>4Y / 0N</v>
      </c>
      <c r="L67" s="2" t="s">
        <v>19</v>
      </c>
      <c r="M67" s="2"/>
    </row>
    <row r="68" spans="1:13" ht="98.1" customHeight="1" x14ac:dyDescent="0.2">
      <c r="A68" s="2" t="s">
        <v>295</v>
      </c>
      <c r="B68" s="3" t="s">
        <v>14</v>
      </c>
      <c r="C68" s="3" t="s">
        <v>14</v>
      </c>
      <c r="D68" s="2" t="s">
        <v>260</v>
      </c>
      <c r="E68" s="3" t="s">
        <v>14</v>
      </c>
      <c r="F68" s="2" t="s">
        <v>248</v>
      </c>
      <c r="G68" s="3" t="s">
        <v>14</v>
      </c>
      <c r="H68" s="2" t="s">
        <v>296</v>
      </c>
      <c r="I68" s="3" t="s">
        <v>14</v>
      </c>
      <c r="J68" s="2" t="s">
        <v>297</v>
      </c>
      <c r="K68" s="4" t="str">
        <f t="shared" si="1"/>
        <v>4Y / 0N</v>
      </c>
      <c r="L68" s="2" t="s">
        <v>19</v>
      </c>
      <c r="M68" s="2"/>
    </row>
    <row r="69" spans="1:13" ht="98.1" customHeight="1" x14ac:dyDescent="0.2">
      <c r="A69" s="2" t="s">
        <v>298</v>
      </c>
      <c r="B69" s="3" t="s">
        <v>24</v>
      </c>
      <c r="C69" s="3" t="s">
        <v>14</v>
      </c>
      <c r="D69" s="2" t="s">
        <v>260</v>
      </c>
      <c r="E69" s="3" t="s">
        <v>14</v>
      </c>
      <c r="F69" s="2" t="s">
        <v>248</v>
      </c>
      <c r="G69" s="3" t="s">
        <v>24</v>
      </c>
      <c r="H69" s="2" t="s">
        <v>126</v>
      </c>
      <c r="I69" s="3" t="s">
        <v>24</v>
      </c>
      <c r="J69" s="2" t="s">
        <v>299</v>
      </c>
      <c r="K69" s="4" t="str">
        <f t="shared" si="1"/>
        <v>2Y / 2N</v>
      </c>
      <c r="L69" s="2" t="s">
        <v>38</v>
      </c>
      <c r="M69" s="2" t="s">
        <v>202</v>
      </c>
    </row>
    <row r="70" spans="1:13" ht="98.1" customHeight="1" x14ac:dyDescent="0.2">
      <c r="A70" s="2" t="s">
        <v>300</v>
      </c>
      <c r="B70" s="3" t="s">
        <v>14</v>
      </c>
      <c r="C70" s="3" t="s">
        <v>14</v>
      </c>
      <c r="D70" s="2" t="s">
        <v>260</v>
      </c>
      <c r="E70" s="3" t="s">
        <v>14</v>
      </c>
      <c r="F70" s="2" t="s">
        <v>248</v>
      </c>
      <c r="G70" s="3" t="s">
        <v>14</v>
      </c>
      <c r="H70" s="2" t="s">
        <v>296</v>
      </c>
      <c r="I70" s="3" t="s">
        <v>14</v>
      </c>
      <c r="J70" s="2" t="s">
        <v>301</v>
      </c>
      <c r="K70" s="4" t="str">
        <f t="shared" si="1"/>
        <v>4Y / 0N</v>
      </c>
      <c r="L70" s="2" t="s">
        <v>19</v>
      </c>
      <c r="M70" s="2"/>
    </row>
    <row r="71" spans="1:13" ht="98.1" customHeight="1" x14ac:dyDescent="0.2">
      <c r="A71" s="2" t="s">
        <v>302</v>
      </c>
      <c r="B71" s="3" t="s">
        <v>14</v>
      </c>
      <c r="C71" s="3" t="s">
        <v>303</v>
      </c>
      <c r="D71" s="2" t="s">
        <v>304</v>
      </c>
      <c r="E71" s="3" t="s">
        <v>14</v>
      </c>
      <c r="F71" s="2" t="s">
        <v>248</v>
      </c>
      <c r="G71" s="3" t="s">
        <v>14</v>
      </c>
      <c r="H71" s="2" t="s">
        <v>305</v>
      </c>
      <c r="I71" s="3" t="s">
        <v>14</v>
      </c>
      <c r="J71" s="2" t="s">
        <v>306</v>
      </c>
      <c r="K71" s="4" t="str">
        <f t="shared" si="1"/>
        <v>3Y / 0N / 1 ambiguous</v>
      </c>
      <c r="L71" s="2" t="s">
        <v>38</v>
      </c>
      <c r="M71" s="2" t="s">
        <v>110</v>
      </c>
    </row>
    <row r="72" spans="1:13" ht="98.1" customHeight="1" x14ac:dyDescent="0.2">
      <c r="A72" s="2" t="s">
        <v>307</v>
      </c>
      <c r="B72" s="3" t="s">
        <v>14</v>
      </c>
      <c r="C72" s="3" t="s">
        <v>14</v>
      </c>
      <c r="D72" s="2" t="s">
        <v>308</v>
      </c>
      <c r="E72" s="3" t="s">
        <v>14</v>
      </c>
      <c r="F72" s="2" t="s">
        <v>309</v>
      </c>
      <c r="G72" s="3" t="s">
        <v>14</v>
      </c>
      <c r="H72" s="2" t="s">
        <v>310</v>
      </c>
      <c r="I72" s="3" t="s">
        <v>14</v>
      </c>
      <c r="J72" s="2" t="s">
        <v>306</v>
      </c>
      <c r="K72" s="4" t="str">
        <f t="shared" si="1"/>
        <v>4Y / 0N</v>
      </c>
      <c r="L72" s="2" t="s">
        <v>19</v>
      </c>
      <c r="M72" s="2"/>
    </row>
    <row r="73" spans="1:13" ht="98.1" customHeight="1" x14ac:dyDescent="0.2">
      <c r="A73" s="2" t="s">
        <v>311</v>
      </c>
      <c r="B73" s="3" t="s">
        <v>24</v>
      </c>
      <c r="C73" s="3" t="s">
        <v>24</v>
      </c>
      <c r="D73" s="2" t="s">
        <v>312</v>
      </c>
      <c r="E73" s="3" t="s">
        <v>24</v>
      </c>
      <c r="F73" s="2" t="s">
        <v>313</v>
      </c>
      <c r="G73" s="3" t="s">
        <v>24</v>
      </c>
      <c r="H73" s="2" t="s">
        <v>126</v>
      </c>
      <c r="I73" s="3" t="s">
        <v>24</v>
      </c>
      <c r="J73" s="2" t="s">
        <v>314</v>
      </c>
      <c r="K73" s="4" t="str">
        <f t="shared" si="1"/>
        <v>0Y / 4N</v>
      </c>
      <c r="L73" s="2" t="s">
        <v>19</v>
      </c>
      <c r="M73" s="2"/>
    </row>
    <row r="74" spans="1:13" ht="98.1" customHeight="1" x14ac:dyDescent="0.2">
      <c r="A74" s="2" t="s">
        <v>315</v>
      </c>
      <c r="B74" s="3" t="s">
        <v>14</v>
      </c>
      <c r="C74" s="3" t="s">
        <v>14</v>
      </c>
      <c r="D74" s="2" t="s">
        <v>260</v>
      </c>
      <c r="E74" s="3" t="s">
        <v>14</v>
      </c>
      <c r="F74" s="2" t="s">
        <v>316</v>
      </c>
      <c r="G74" s="3" t="s">
        <v>14</v>
      </c>
      <c r="H74" s="2" t="s">
        <v>317</v>
      </c>
      <c r="I74" s="3" t="s">
        <v>14</v>
      </c>
      <c r="J74" s="2" t="s">
        <v>306</v>
      </c>
      <c r="K74" s="4" t="str">
        <f t="shared" si="1"/>
        <v>4Y / 0N</v>
      </c>
      <c r="L74" s="2" t="s">
        <v>19</v>
      </c>
      <c r="M74" s="2"/>
    </row>
    <row r="75" spans="1:13" ht="98.1" customHeight="1" x14ac:dyDescent="0.2">
      <c r="A75" s="2" t="s">
        <v>318</v>
      </c>
      <c r="B75" s="3" t="s">
        <v>14</v>
      </c>
      <c r="C75" s="3" t="s">
        <v>14</v>
      </c>
      <c r="D75" s="2" t="s">
        <v>319</v>
      </c>
      <c r="E75" s="3" t="s">
        <v>14</v>
      </c>
      <c r="F75" s="2" t="s">
        <v>320</v>
      </c>
      <c r="G75" s="3" t="s">
        <v>24</v>
      </c>
      <c r="H75" s="2" t="s">
        <v>321</v>
      </c>
      <c r="I75" s="3" t="s">
        <v>14</v>
      </c>
      <c r="J75" s="2" t="s">
        <v>306</v>
      </c>
      <c r="K75" s="4" t="str">
        <f t="shared" si="1"/>
        <v>3Y / 1N</v>
      </c>
      <c r="L75" s="2" t="s">
        <v>38</v>
      </c>
      <c r="M75" s="2" t="s">
        <v>110</v>
      </c>
    </row>
    <row r="76" spans="1:13" ht="98.1" customHeight="1" x14ac:dyDescent="0.2">
      <c r="A76" s="2" t="s">
        <v>322</v>
      </c>
      <c r="B76" s="3" t="s">
        <v>14</v>
      </c>
      <c r="C76" s="3" t="s">
        <v>14</v>
      </c>
      <c r="D76" s="2" t="s">
        <v>260</v>
      </c>
      <c r="E76" s="3" t="s">
        <v>14</v>
      </c>
      <c r="F76" s="2" t="s">
        <v>320</v>
      </c>
      <c r="G76" s="3" t="s">
        <v>14</v>
      </c>
      <c r="H76" s="2" t="s">
        <v>284</v>
      </c>
      <c r="I76" s="3" t="s">
        <v>14</v>
      </c>
      <c r="J76" s="2" t="s">
        <v>323</v>
      </c>
      <c r="K76" s="4" t="str">
        <f t="shared" si="1"/>
        <v>4Y / 0N</v>
      </c>
      <c r="L76" s="2" t="s">
        <v>19</v>
      </c>
      <c r="M76" s="2"/>
    </row>
    <row r="77" spans="1:13" ht="98.1" customHeight="1" x14ac:dyDescent="0.2">
      <c r="A77" s="2" t="s">
        <v>324</v>
      </c>
      <c r="B77" s="3" t="s">
        <v>14</v>
      </c>
      <c r="C77" s="3" t="s">
        <v>14</v>
      </c>
      <c r="D77" s="2" t="s">
        <v>325</v>
      </c>
      <c r="E77" s="3" t="s">
        <v>14</v>
      </c>
      <c r="F77" s="2" t="s">
        <v>326</v>
      </c>
      <c r="G77" s="3" t="s">
        <v>14</v>
      </c>
      <c r="H77" s="2" t="s">
        <v>327</v>
      </c>
      <c r="I77" s="3" t="s">
        <v>14</v>
      </c>
      <c r="J77" s="2" t="s">
        <v>328</v>
      </c>
      <c r="K77" s="4" t="str">
        <f t="shared" si="1"/>
        <v>4Y / 0N</v>
      </c>
      <c r="L77" s="2" t="s">
        <v>19</v>
      </c>
      <c r="M77" s="2"/>
    </row>
    <row r="78" spans="1:13" ht="98.1" customHeight="1" x14ac:dyDescent="0.2">
      <c r="A78" s="2" t="s">
        <v>329</v>
      </c>
      <c r="B78" s="3" t="s">
        <v>24</v>
      </c>
      <c r="C78" s="3" t="s">
        <v>24</v>
      </c>
      <c r="D78" s="2" t="s">
        <v>214</v>
      </c>
      <c r="E78" s="3" t="s">
        <v>24</v>
      </c>
      <c r="F78" s="2" t="s">
        <v>330</v>
      </c>
      <c r="G78" s="3" t="s">
        <v>24</v>
      </c>
      <c r="H78" s="2" t="s">
        <v>331</v>
      </c>
      <c r="I78" s="3" t="s">
        <v>24</v>
      </c>
      <c r="J78" s="2" t="s">
        <v>332</v>
      </c>
      <c r="K78" s="4" t="str">
        <f t="shared" si="1"/>
        <v>0Y / 4N</v>
      </c>
      <c r="L78" s="2" t="s">
        <v>19</v>
      </c>
      <c r="M78" s="2"/>
    </row>
    <row r="79" spans="1:13" ht="98.1" customHeight="1" x14ac:dyDescent="0.2">
      <c r="A79" s="2" t="s">
        <v>333</v>
      </c>
      <c r="B79" s="3" t="s">
        <v>24</v>
      </c>
      <c r="C79" s="3" t="s">
        <v>14</v>
      </c>
      <c r="D79" s="2" t="s">
        <v>334</v>
      </c>
      <c r="E79" s="3" t="s">
        <v>14</v>
      </c>
      <c r="F79" s="2" t="s">
        <v>320</v>
      </c>
      <c r="G79" s="3" t="s">
        <v>24</v>
      </c>
      <c r="H79" s="2" t="s">
        <v>126</v>
      </c>
      <c r="I79" s="3" t="s">
        <v>24</v>
      </c>
      <c r="J79" s="2" t="s">
        <v>335</v>
      </c>
      <c r="K79" s="4" t="str">
        <f t="shared" si="1"/>
        <v>2Y / 2N</v>
      </c>
      <c r="L79" s="2" t="s">
        <v>38</v>
      </c>
      <c r="M79" s="2" t="s">
        <v>336</v>
      </c>
    </row>
    <row r="80" spans="1:13" ht="98.1" customHeight="1" x14ac:dyDescent="0.2">
      <c r="A80" s="2" t="s">
        <v>337</v>
      </c>
      <c r="B80" s="3" t="s">
        <v>24</v>
      </c>
      <c r="C80" s="3" t="s">
        <v>24</v>
      </c>
      <c r="D80" s="2" t="s">
        <v>338</v>
      </c>
      <c r="E80" s="3" t="s">
        <v>14</v>
      </c>
      <c r="F80" s="2" t="s">
        <v>339</v>
      </c>
      <c r="G80" s="3" t="s">
        <v>14</v>
      </c>
      <c r="H80" s="2" t="s">
        <v>340</v>
      </c>
      <c r="I80" s="3" t="s">
        <v>14</v>
      </c>
      <c r="J80" s="2" t="s">
        <v>341</v>
      </c>
      <c r="K80" s="4" t="str">
        <f t="shared" si="1"/>
        <v>3Y / 1N</v>
      </c>
      <c r="L80" s="2" t="s">
        <v>38</v>
      </c>
      <c r="M80" s="2" t="s">
        <v>66</v>
      </c>
    </row>
    <row r="81" spans="1:13" ht="98.1" customHeight="1" x14ac:dyDescent="0.2">
      <c r="A81" s="2" t="s">
        <v>342</v>
      </c>
      <c r="B81" s="3" t="s">
        <v>24</v>
      </c>
      <c r="C81" s="3" t="s">
        <v>24</v>
      </c>
      <c r="D81" s="2" t="s">
        <v>343</v>
      </c>
      <c r="E81" s="3" t="s">
        <v>24</v>
      </c>
      <c r="F81" s="2" t="s">
        <v>344</v>
      </c>
      <c r="G81" s="3" t="s">
        <v>24</v>
      </c>
      <c r="H81" s="2" t="s">
        <v>345</v>
      </c>
      <c r="I81" s="3" t="s">
        <v>14</v>
      </c>
      <c r="J81" s="2" t="s">
        <v>346</v>
      </c>
      <c r="K81" s="4" t="str">
        <f t="shared" si="1"/>
        <v>1Y / 3N</v>
      </c>
      <c r="L81" s="2" t="s">
        <v>38</v>
      </c>
      <c r="M81" s="2" t="s">
        <v>347</v>
      </c>
    </row>
    <row r="82" spans="1:13" ht="98.1" customHeight="1" x14ac:dyDescent="0.2">
      <c r="A82" s="2" t="s">
        <v>348</v>
      </c>
      <c r="B82" s="3" t="s">
        <v>14</v>
      </c>
      <c r="C82" s="3" t="s">
        <v>14</v>
      </c>
      <c r="D82" s="2" t="s">
        <v>260</v>
      </c>
      <c r="E82" s="3" t="s">
        <v>14</v>
      </c>
      <c r="F82" s="2" t="s">
        <v>349</v>
      </c>
      <c r="G82" s="3" t="s">
        <v>14</v>
      </c>
      <c r="H82" s="2" t="s">
        <v>350</v>
      </c>
      <c r="I82" s="3" t="s">
        <v>14</v>
      </c>
      <c r="J82" s="2" t="s">
        <v>323</v>
      </c>
      <c r="K82" s="4" t="str">
        <f t="shared" si="1"/>
        <v>4Y / 0N</v>
      </c>
      <c r="L82" s="2" t="s">
        <v>19</v>
      </c>
      <c r="M82" s="2"/>
    </row>
    <row r="83" spans="1:13" ht="98.1" customHeight="1" x14ac:dyDescent="0.2">
      <c r="A83" s="2" t="s">
        <v>351</v>
      </c>
      <c r="B83" s="3" t="s">
        <v>14</v>
      </c>
      <c r="C83" s="3" t="s">
        <v>14</v>
      </c>
      <c r="D83" s="2" t="s">
        <v>136</v>
      </c>
      <c r="E83" s="3" t="s">
        <v>14</v>
      </c>
      <c r="F83" s="2" t="s">
        <v>352</v>
      </c>
      <c r="G83" s="3" t="s">
        <v>24</v>
      </c>
      <c r="H83" s="2" t="s">
        <v>353</v>
      </c>
      <c r="I83" s="3" t="s">
        <v>14</v>
      </c>
      <c r="J83" s="2" t="s">
        <v>323</v>
      </c>
      <c r="K83" s="4" t="str">
        <f t="shared" si="1"/>
        <v>3Y / 1N</v>
      </c>
      <c r="L83" s="2" t="s">
        <v>38</v>
      </c>
      <c r="M83" s="2" t="s">
        <v>110</v>
      </c>
    </row>
    <row r="84" spans="1:13" ht="98.1" customHeight="1" x14ac:dyDescent="0.2">
      <c r="A84" s="2" t="s">
        <v>354</v>
      </c>
      <c r="B84" s="3" t="s">
        <v>14</v>
      </c>
      <c r="C84" s="3" t="s">
        <v>14</v>
      </c>
      <c r="D84" s="2" t="s">
        <v>355</v>
      </c>
      <c r="E84" s="3" t="s">
        <v>14</v>
      </c>
      <c r="F84" s="2" t="s">
        <v>356</v>
      </c>
      <c r="G84" s="3" t="s">
        <v>14</v>
      </c>
      <c r="H84" s="2" t="s">
        <v>284</v>
      </c>
      <c r="I84" s="3" t="s">
        <v>14</v>
      </c>
      <c r="J84" s="2" t="s">
        <v>323</v>
      </c>
      <c r="K84" s="4" t="str">
        <f t="shared" si="1"/>
        <v>4Y / 0N</v>
      </c>
      <c r="L84" s="2" t="s">
        <v>19</v>
      </c>
      <c r="M84" s="2"/>
    </row>
    <row r="85" spans="1:13" ht="98.1" customHeight="1" x14ac:dyDescent="0.2">
      <c r="A85" s="2" t="s">
        <v>357</v>
      </c>
      <c r="B85" s="3" t="s">
        <v>14</v>
      </c>
      <c r="C85" s="3" t="s">
        <v>14</v>
      </c>
      <c r="D85" s="2" t="s">
        <v>276</v>
      </c>
      <c r="E85" s="3" t="s">
        <v>14</v>
      </c>
      <c r="F85" s="2" t="s">
        <v>358</v>
      </c>
      <c r="G85" s="3" t="s">
        <v>14</v>
      </c>
      <c r="H85" s="2" t="s">
        <v>284</v>
      </c>
      <c r="I85" s="3" t="s">
        <v>14</v>
      </c>
      <c r="J85" s="2" t="s">
        <v>306</v>
      </c>
      <c r="K85" s="4" t="str">
        <f t="shared" si="1"/>
        <v>4Y / 0N</v>
      </c>
      <c r="L85" s="2" t="s">
        <v>19</v>
      </c>
      <c r="M85" s="2"/>
    </row>
    <row r="86" spans="1:13" ht="98.1" customHeight="1" x14ac:dyDescent="0.2">
      <c r="A86" s="2" t="s">
        <v>359</v>
      </c>
      <c r="B86" s="3" t="s">
        <v>14</v>
      </c>
      <c r="C86" s="3" t="s">
        <v>14</v>
      </c>
      <c r="D86" s="2" t="s">
        <v>136</v>
      </c>
      <c r="E86" s="3" t="s">
        <v>14</v>
      </c>
      <c r="F86" s="2" t="s">
        <v>360</v>
      </c>
      <c r="G86" s="3" t="s">
        <v>14</v>
      </c>
      <c r="H86" s="2" t="s">
        <v>361</v>
      </c>
      <c r="I86" s="3" t="s">
        <v>14</v>
      </c>
      <c r="J86" s="2" t="s">
        <v>323</v>
      </c>
      <c r="K86" s="4" t="str">
        <f t="shared" si="1"/>
        <v>4Y / 0N</v>
      </c>
      <c r="L86" s="2" t="s">
        <v>19</v>
      </c>
      <c r="M86" s="2"/>
    </row>
    <row r="87" spans="1:13" ht="98.1" customHeight="1" x14ac:dyDescent="0.2">
      <c r="A87" s="2" t="s">
        <v>362</v>
      </c>
      <c r="B87" s="3" t="s">
        <v>24</v>
      </c>
      <c r="C87" s="3" t="s">
        <v>24</v>
      </c>
      <c r="D87" s="2" t="s">
        <v>363</v>
      </c>
      <c r="E87" s="3" t="s">
        <v>24</v>
      </c>
      <c r="F87" s="2" t="s">
        <v>364</v>
      </c>
      <c r="G87" s="3" t="s">
        <v>14</v>
      </c>
      <c r="H87" s="2" t="s">
        <v>365</v>
      </c>
      <c r="I87" s="3" t="s">
        <v>24</v>
      </c>
      <c r="J87" s="2" t="s">
        <v>366</v>
      </c>
      <c r="K87" s="4" t="str">
        <f t="shared" si="1"/>
        <v>1Y / 3N</v>
      </c>
      <c r="L87" s="2" t="s">
        <v>38</v>
      </c>
      <c r="M87" s="2" t="s">
        <v>217</v>
      </c>
    </row>
    <row r="88" spans="1:13" ht="98.1" customHeight="1" x14ac:dyDescent="0.2">
      <c r="A88" s="2" t="s">
        <v>367</v>
      </c>
      <c r="B88" s="3" t="s">
        <v>14</v>
      </c>
      <c r="C88" s="3" t="s">
        <v>24</v>
      </c>
      <c r="D88" s="2" t="s">
        <v>363</v>
      </c>
      <c r="E88" s="3" t="s">
        <v>303</v>
      </c>
      <c r="F88" s="2" t="s">
        <v>368</v>
      </c>
      <c r="G88" s="3" t="s">
        <v>24</v>
      </c>
      <c r="H88" s="2" t="s">
        <v>369</v>
      </c>
      <c r="I88" s="3" t="s">
        <v>14</v>
      </c>
      <c r="J88" s="2" t="s">
        <v>370</v>
      </c>
      <c r="K88" s="4" t="str">
        <f t="shared" si="1"/>
        <v>1Y / 2N / 1 ambiguous</v>
      </c>
      <c r="L88" s="2" t="s">
        <v>38</v>
      </c>
      <c r="M88" s="2" t="s">
        <v>110</v>
      </c>
    </row>
    <row r="89" spans="1:13" ht="98.1" customHeight="1" x14ac:dyDescent="0.2">
      <c r="A89" s="2" t="s">
        <v>371</v>
      </c>
      <c r="B89" s="3" t="s">
        <v>14</v>
      </c>
      <c r="C89" s="3" t="s">
        <v>14</v>
      </c>
      <c r="D89" s="2" t="s">
        <v>372</v>
      </c>
      <c r="E89" s="3" t="s">
        <v>14</v>
      </c>
      <c r="F89" s="2" t="s">
        <v>266</v>
      </c>
      <c r="G89" s="3" t="s">
        <v>14</v>
      </c>
      <c r="H89" s="2" t="s">
        <v>284</v>
      </c>
      <c r="I89" s="3" t="s">
        <v>14</v>
      </c>
      <c r="J89" s="2" t="s">
        <v>306</v>
      </c>
      <c r="K89" s="4" t="str">
        <f t="shared" si="1"/>
        <v>4Y / 0N</v>
      </c>
      <c r="L89" s="2" t="s">
        <v>19</v>
      </c>
      <c r="M89" s="2"/>
    </row>
    <row r="90" spans="1:13" ht="98.1" customHeight="1" x14ac:dyDescent="0.2">
      <c r="A90" s="2" t="s">
        <v>373</v>
      </c>
      <c r="B90" s="3" t="s">
        <v>14</v>
      </c>
      <c r="C90" s="3" t="s">
        <v>14</v>
      </c>
      <c r="D90" s="2" t="s">
        <v>260</v>
      </c>
      <c r="E90" s="3" t="s">
        <v>14</v>
      </c>
      <c r="F90" s="2" t="s">
        <v>266</v>
      </c>
      <c r="G90" s="3" t="s">
        <v>14</v>
      </c>
      <c r="H90" s="2" t="s">
        <v>374</v>
      </c>
      <c r="I90" s="3" t="s">
        <v>14</v>
      </c>
      <c r="J90" s="2" t="s">
        <v>306</v>
      </c>
      <c r="K90" s="4" t="str">
        <f t="shared" si="1"/>
        <v>4Y / 0N</v>
      </c>
      <c r="L90" s="2" t="s">
        <v>19</v>
      </c>
      <c r="M90" s="2"/>
    </row>
    <row r="91" spans="1:13" ht="98.1" customHeight="1" x14ac:dyDescent="0.2">
      <c r="A91" s="2" t="s">
        <v>375</v>
      </c>
      <c r="B91" s="3" t="s">
        <v>24</v>
      </c>
      <c r="C91" s="3" t="s">
        <v>24</v>
      </c>
      <c r="D91" s="2" t="s">
        <v>376</v>
      </c>
      <c r="E91" s="3" t="s">
        <v>24</v>
      </c>
      <c r="F91" s="2" t="s">
        <v>377</v>
      </c>
      <c r="G91" s="3" t="s">
        <v>14</v>
      </c>
      <c r="H91" s="2" t="s">
        <v>378</v>
      </c>
      <c r="I91" s="3" t="s">
        <v>24</v>
      </c>
      <c r="J91" s="2" t="s">
        <v>379</v>
      </c>
      <c r="K91" s="4" t="str">
        <f t="shared" si="1"/>
        <v>1Y / 3N</v>
      </c>
      <c r="L91" s="2" t="s">
        <v>38</v>
      </c>
      <c r="M91" s="2" t="s">
        <v>202</v>
      </c>
    </row>
    <row r="92" spans="1:13" ht="98.1" customHeight="1" x14ac:dyDescent="0.2">
      <c r="A92" s="2" t="s">
        <v>380</v>
      </c>
      <c r="B92" s="3" t="s">
        <v>24</v>
      </c>
      <c r="C92" s="3" t="s">
        <v>24</v>
      </c>
      <c r="D92" s="2" t="s">
        <v>381</v>
      </c>
      <c r="E92" s="3" t="s">
        <v>14</v>
      </c>
      <c r="F92" s="2" t="s">
        <v>382</v>
      </c>
      <c r="G92" s="3" t="s">
        <v>14</v>
      </c>
      <c r="H92" s="2" t="s">
        <v>383</v>
      </c>
      <c r="I92" s="3" t="s">
        <v>24</v>
      </c>
      <c r="J92" s="2" t="s">
        <v>384</v>
      </c>
      <c r="K92" s="4" t="str">
        <f t="shared" si="1"/>
        <v>2Y / 2N</v>
      </c>
      <c r="L92" s="2" t="s">
        <v>38</v>
      </c>
      <c r="M92" s="2" t="s">
        <v>202</v>
      </c>
    </row>
    <row r="93" spans="1:13" ht="98.1" customHeight="1" x14ac:dyDescent="0.2">
      <c r="A93" s="2" t="s">
        <v>385</v>
      </c>
      <c r="B93" s="3" t="s">
        <v>24</v>
      </c>
      <c r="C93" s="3" t="s">
        <v>14</v>
      </c>
      <c r="D93" s="2" t="s">
        <v>260</v>
      </c>
      <c r="E93" s="3" t="s">
        <v>14</v>
      </c>
      <c r="F93" s="2" t="s">
        <v>382</v>
      </c>
      <c r="G93" s="3" t="s">
        <v>24</v>
      </c>
      <c r="H93" s="2" t="s">
        <v>130</v>
      </c>
      <c r="I93" s="3" t="s">
        <v>24</v>
      </c>
      <c r="J93" s="2" t="s">
        <v>386</v>
      </c>
      <c r="K93" s="4" t="str">
        <f t="shared" si="1"/>
        <v>2Y / 2N</v>
      </c>
      <c r="L93" s="2" t="s">
        <v>38</v>
      </c>
      <c r="M93" s="2" t="s">
        <v>202</v>
      </c>
    </row>
    <row r="94" spans="1:13" ht="98.1" customHeight="1" x14ac:dyDescent="0.2">
      <c r="A94" s="2" t="s">
        <v>387</v>
      </c>
      <c r="B94" s="3" t="s">
        <v>24</v>
      </c>
      <c r="C94" s="3" t="s">
        <v>24</v>
      </c>
      <c r="D94" s="2" t="s">
        <v>388</v>
      </c>
      <c r="E94" s="3" t="s">
        <v>14</v>
      </c>
      <c r="F94" s="2" t="s">
        <v>382</v>
      </c>
      <c r="G94" s="3" t="s">
        <v>24</v>
      </c>
      <c r="H94" s="2" t="s">
        <v>389</v>
      </c>
      <c r="I94" s="3" t="s">
        <v>24</v>
      </c>
      <c r="J94" s="2" t="s">
        <v>390</v>
      </c>
      <c r="K94" s="4" t="str">
        <f t="shared" si="1"/>
        <v>1Y / 3N</v>
      </c>
      <c r="L94" s="2" t="s">
        <v>38</v>
      </c>
      <c r="M94" s="2" t="s">
        <v>202</v>
      </c>
    </row>
    <row r="95" spans="1:13" ht="98.1" customHeight="1" x14ac:dyDescent="0.2">
      <c r="A95" s="2" t="s">
        <v>391</v>
      </c>
      <c r="B95" s="3" t="s">
        <v>24</v>
      </c>
      <c r="C95" s="3" t="s">
        <v>24</v>
      </c>
      <c r="D95" s="2" t="s">
        <v>392</v>
      </c>
      <c r="E95" s="3" t="s">
        <v>24</v>
      </c>
      <c r="F95" s="2" t="s">
        <v>377</v>
      </c>
      <c r="G95" s="3" t="s">
        <v>14</v>
      </c>
      <c r="H95" s="2" t="s">
        <v>393</v>
      </c>
      <c r="I95" s="3" t="s">
        <v>24</v>
      </c>
      <c r="J95" s="2" t="s">
        <v>394</v>
      </c>
      <c r="K95" s="4" t="str">
        <f t="shared" si="1"/>
        <v>1Y / 3N</v>
      </c>
      <c r="L95" s="2" t="s">
        <v>38</v>
      </c>
      <c r="M95" s="2" t="s">
        <v>202</v>
      </c>
    </row>
    <row r="96" spans="1:13" ht="98.1" customHeight="1" x14ac:dyDescent="0.2">
      <c r="A96" s="2" t="s">
        <v>395</v>
      </c>
      <c r="B96" s="3" t="s">
        <v>24</v>
      </c>
      <c r="C96" s="3" t="s">
        <v>24</v>
      </c>
      <c r="D96" s="2" t="s">
        <v>396</v>
      </c>
      <c r="E96" s="3" t="s">
        <v>24</v>
      </c>
      <c r="F96" s="2" t="s">
        <v>397</v>
      </c>
      <c r="G96" s="3" t="s">
        <v>24</v>
      </c>
      <c r="H96" s="2" t="s">
        <v>389</v>
      </c>
      <c r="I96" s="3" t="s">
        <v>24</v>
      </c>
      <c r="J96" s="2" t="s">
        <v>398</v>
      </c>
      <c r="K96" s="4" t="str">
        <f t="shared" si="1"/>
        <v>0Y / 4N</v>
      </c>
      <c r="L96" s="2" t="s">
        <v>19</v>
      </c>
      <c r="M96" s="2"/>
    </row>
    <row r="97" spans="1:13" ht="98.1" customHeight="1" x14ac:dyDescent="0.2">
      <c r="A97" s="2" t="s">
        <v>399</v>
      </c>
      <c r="B97" s="3" t="s">
        <v>24</v>
      </c>
      <c r="C97" s="3" t="s">
        <v>24</v>
      </c>
      <c r="D97" s="2" t="s">
        <v>381</v>
      </c>
      <c r="E97" s="3" t="s">
        <v>24</v>
      </c>
      <c r="F97" s="2" t="s">
        <v>377</v>
      </c>
      <c r="G97" s="3" t="s">
        <v>24</v>
      </c>
      <c r="H97" s="2" t="s">
        <v>400</v>
      </c>
      <c r="I97" s="3" t="s">
        <v>24</v>
      </c>
      <c r="J97" s="2" t="s">
        <v>401</v>
      </c>
      <c r="K97" s="4" t="str">
        <f t="shared" si="1"/>
        <v>0Y / 4N</v>
      </c>
      <c r="L97" s="2" t="s">
        <v>19</v>
      </c>
      <c r="M97" s="2"/>
    </row>
    <row r="98" spans="1:13" ht="98.1" customHeight="1" x14ac:dyDescent="0.2">
      <c r="A98" s="2" t="s">
        <v>402</v>
      </c>
      <c r="B98" s="3" t="s">
        <v>24</v>
      </c>
      <c r="C98" s="3" t="s">
        <v>24</v>
      </c>
      <c r="D98" s="2" t="s">
        <v>403</v>
      </c>
      <c r="E98" s="3" t="s">
        <v>24</v>
      </c>
      <c r="F98" s="2" t="s">
        <v>404</v>
      </c>
      <c r="G98" s="3" t="s">
        <v>24</v>
      </c>
      <c r="H98" s="2" t="s">
        <v>405</v>
      </c>
      <c r="I98" s="3" t="s">
        <v>24</v>
      </c>
      <c r="J98" s="2" t="s">
        <v>406</v>
      </c>
      <c r="K98" s="4" t="str">
        <f t="shared" si="1"/>
        <v>0Y / 4N</v>
      </c>
      <c r="L98" s="2" t="s">
        <v>19</v>
      </c>
      <c r="M98" s="2"/>
    </row>
    <row r="99" spans="1:13" ht="98.1" customHeight="1" x14ac:dyDescent="0.2">
      <c r="A99" s="2" t="s">
        <v>407</v>
      </c>
      <c r="B99" s="3" t="s">
        <v>14</v>
      </c>
      <c r="C99" s="3" t="s">
        <v>14</v>
      </c>
      <c r="D99" s="2" t="s">
        <v>372</v>
      </c>
      <c r="E99" s="3" t="s">
        <v>14</v>
      </c>
      <c r="F99" s="2" t="s">
        <v>382</v>
      </c>
      <c r="G99" s="3" t="s">
        <v>24</v>
      </c>
      <c r="H99" s="2" t="s">
        <v>408</v>
      </c>
      <c r="I99" s="3" t="s">
        <v>14</v>
      </c>
      <c r="J99" s="2" t="s">
        <v>306</v>
      </c>
      <c r="K99" s="4" t="str">
        <f t="shared" si="1"/>
        <v>3Y / 1N</v>
      </c>
      <c r="L99" s="2" t="s">
        <v>38</v>
      </c>
      <c r="M99" s="2" t="s">
        <v>110</v>
      </c>
    </row>
    <row r="100" spans="1:13" ht="98.1" customHeight="1" x14ac:dyDescent="0.2">
      <c r="A100" s="2" t="s">
        <v>409</v>
      </c>
      <c r="B100" s="3" t="s">
        <v>14</v>
      </c>
      <c r="C100" s="3" t="s">
        <v>14</v>
      </c>
      <c r="D100" s="2" t="s">
        <v>260</v>
      </c>
      <c r="E100" s="3" t="s">
        <v>14</v>
      </c>
      <c r="F100" s="2" t="s">
        <v>410</v>
      </c>
      <c r="G100" s="3" t="s">
        <v>24</v>
      </c>
      <c r="H100" s="2" t="s">
        <v>411</v>
      </c>
      <c r="I100" s="3" t="s">
        <v>14</v>
      </c>
      <c r="J100" s="2" t="s">
        <v>306</v>
      </c>
      <c r="K100" s="4" t="str">
        <f t="shared" si="1"/>
        <v>3Y / 1N</v>
      </c>
      <c r="L100" s="2" t="s">
        <v>38</v>
      </c>
      <c r="M100" s="2" t="s">
        <v>110</v>
      </c>
    </row>
    <row r="101" spans="1:13" ht="98.1" customHeight="1" x14ac:dyDescent="0.2">
      <c r="A101" s="2" t="s">
        <v>412</v>
      </c>
      <c r="B101" s="3" t="s">
        <v>24</v>
      </c>
      <c r="C101" s="3" t="s">
        <v>24</v>
      </c>
      <c r="D101" s="2" t="s">
        <v>413</v>
      </c>
      <c r="E101" s="3" t="s">
        <v>24</v>
      </c>
      <c r="F101" s="2" t="s">
        <v>414</v>
      </c>
      <c r="G101" s="3" t="s">
        <v>24</v>
      </c>
      <c r="H101" s="2" t="s">
        <v>126</v>
      </c>
      <c r="I101" s="3" t="s">
        <v>24</v>
      </c>
      <c r="J101" s="2" t="s">
        <v>415</v>
      </c>
      <c r="K101" s="4" t="str">
        <f t="shared" si="1"/>
        <v>0Y / 4N</v>
      </c>
      <c r="L101" s="2" t="s">
        <v>19</v>
      </c>
      <c r="M101" s="2"/>
    </row>
    <row r="102" spans="1:13" ht="98.1" customHeight="1" x14ac:dyDescent="0.2">
      <c r="A102" s="2" t="s">
        <v>416</v>
      </c>
      <c r="B102" s="3" t="s">
        <v>24</v>
      </c>
      <c r="C102" s="3" t="s">
        <v>24</v>
      </c>
      <c r="D102" s="2" t="s">
        <v>417</v>
      </c>
      <c r="E102" s="3" t="s">
        <v>24</v>
      </c>
      <c r="F102" s="2" t="s">
        <v>418</v>
      </c>
      <c r="G102" s="3" t="s">
        <v>24</v>
      </c>
      <c r="H102" s="2" t="s">
        <v>126</v>
      </c>
      <c r="I102" s="3" t="s">
        <v>24</v>
      </c>
      <c r="J102" s="2" t="s">
        <v>419</v>
      </c>
      <c r="K102" s="4" t="str">
        <f t="shared" si="1"/>
        <v>0Y / 4N</v>
      </c>
      <c r="L102" s="2" t="s">
        <v>19</v>
      </c>
      <c r="M102" s="2"/>
    </row>
    <row r="103" spans="1:13" ht="98.1" customHeight="1" x14ac:dyDescent="0.2">
      <c r="A103" s="2" t="s">
        <v>420</v>
      </c>
      <c r="B103" s="3" t="s">
        <v>14</v>
      </c>
      <c r="C103" s="3" t="s">
        <v>14</v>
      </c>
      <c r="D103" s="2" t="s">
        <v>136</v>
      </c>
      <c r="E103" s="3" t="s">
        <v>14</v>
      </c>
      <c r="F103" s="2" t="s">
        <v>382</v>
      </c>
      <c r="G103" s="3" t="s">
        <v>14</v>
      </c>
      <c r="H103" s="2" t="s">
        <v>421</v>
      </c>
      <c r="I103" s="3" t="s">
        <v>14</v>
      </c>
      <c r="J103" s="2" t="s">
        <v>422</v>
      </c>
      <c r="K103" s="4" t="str">
        <f t="shared" si="1"/>
        <v>4Y / 0N</v>
      </c>
      <c r="L103" s="2" t="s">
        <v>19</v>
      </c>
      <c r="M103" s="2"/>
    </row>
    <row r="104" spans="1:13" ht="98.1" customHeight="1" x14ac:dyDescent="0.2">
      <c r="A104" s="2" t="s">
        <v>423</v>
      </c>
      <c r="B104" s="3" t="s">
        <v>14</v>
      </c>
      <c r="C104" s="3" t="s">
        <v>14</v>
      </c>
      <c r="D104" s="2" t="s">
        <v>424</v>
      </c>
      <c r="E104" s="3" t="s">
        <v>14</v>
      </c>
      <c r="F104" s="2" t="s">
        <v>382</v>
      </c>
      <c r="G104" s="3" t="s">
        <v>14</v>
      </c>
      <c r="H104" s="2" t="s">
        <v>425</v>
      </c>
      <c r="I104" s="3" t="s">
        <v>14</v>
      </c>
      <c r="J104" s="2" t="s">
        <v>306</v>
      </c>
      <c r="K104" s="4" t="str">
        <f t="shared" si="1"/>
        <v>4Y / 0N</v>
      </c>
      <c r="L104" s="2" t="s">
        <v>19</v>
      </c>
      <c r="M104" s="2"/>
    </row>
    <row r="105" spans="1:13" ht="98.1" customHeight="1" x14ac:dyDescent="0.2">
      <c r="A105" s="2" t="s">
        <v>426</v>
      </c>
      <c r="B105" s="3" t="s">
        <v>14</v>
      </c>
      <c r="C105" s="3" t="s">
        <v>14</v>
      </c>
      <c r="D105" s="2" t="s">
        <v>260</v>
      </c>
      <c r="E105" s="3" t="s">
        <v>14</v>
      </c>
      <c r="F105" s="2" t="s">
        <v>382</v>
      </c>
      <c r="G105" s="3" t="s">
        <v>14</v>
      </c>
      <c r="H105" s="2" t="s">
        <v>427</v>
      </c>
      <c r="I105" s="3" t="s">
        <v>14</v>
      </c>
      <c r="J105" s="2" t="s">
        <v>306</v>
      </c>
      <c r="K105" s="4" t="str">
        <f t="shared" si="1"/>
        <v>4Y / 0N</v>
      </c>
      <c r="L105" s="2" t="s">
        <v>19</v>
      </c>
      <c r="M105" s="2"/>
    </row>
    <row r="106" spans="1:13" ht="98.1" customHeight="1" x14ac:dyDescent="0.2">
      <c r="A106" s="2" t="s">
        <v>428</v>
      </c>
      <c r="B106" s="3" t="s">
        <v>24</v>
      </c>
      <c r="C106" s="3" t="s">
        <v>14</v>
      </c>
      <c r="D106" s="2" t="s">
        <v>429</v>
      </c>
      <c r="E106" s="3" t="s">
        <v>14</v>
      </c>
      <c r="F106" s="2" t="s">
        <v>430</v>
      </c>
      <c r="G106" s="3" t="s">
        <v>14</v>
      </c>
      <c r="H106" s="2" t="s">
        <v>431</v>
      </c>
      <c r="I106" s="3" t="s">
        <v>24</v>
      </c>
      <c r="J106" s="2" t="s">
        <v>432</v>
      </c>
      <c r="K106" s="4" t="str">
        <f t="shared" si="1"/>
        <v>3Y / 1N</v>
      </c>
      <c r="L106" s="2" t="s">
        <v>38</v>
      </c>
      <c r="M106" s="2" t="s">
        <v>433</v>
      </c>
    </row>
    <row r="107" spans="1:13" ht="98.1" customHeight="1" x14ac:dyDescent="0.2">
      <c r="A107" s="2" t="s">
        <v>434</v>
      </c>
      <c r="B107" s="3" t="s">
        <v>14</v>
      </c>
      <c r="C107" s="3" t="s">
        <v>14</v>
      </c>
      <c r="D107" s="2" t="s">
        <v>136</v>
      </c>
      <c r="E107" s="3" t="s">
        <v>14</v>
      </c>
      <c r="F107" s="2" t="s">
        <v>382</v>
      </c>
      <c r="G107" s="3" t="s">
        <v>14</v>
      </c>
      <c r="H107" s="2" t="s">
        <v>435</v>
      </c>
      <c r="I107" s="3" t="s">
        <v>14</v>
      </c>
      <c r="J107" s="2" t="s">
        <v>306</v>
      </c>
      <c r="K107" s="4" t="str">
        <f t="shared" si="1"/>
        <v>4Y / 0N</v>
      </c>
      <c r="L107" s="2" t="s">
        <v>19</v>
      </c>
      <c r="M107" s="2"/>
    </row>
    <row r="108" spans="1:13" ht="98.1" customHeight="1" x14ac:dyDescent="0.2">
      <c r="A108" s="2" t="s">
        <v>436</v>
      </c>
      <c r="B108" s="3" t="s">
        <v>14</v>
      </c>
      <c r="C108" s="3" t="s">
        <v>14</v>
      </c>
      <c r="D108" s="2" t="s">
        <v>260</v>
      </c>
      <c r="E108" s="3" t="s">
        <v>14</v>
      </c>
      <c r="F108" s="2" t="s">
        <v>437</v>
      </c>
      <c r="G108" s="3" t="s">
        <v>14</v>
      </c>
      <c r="H108" s="2" t="s">
        <v>438</v>
      </c>
      <c r="I108" s="3" t="s">
        <v>14</v>
      </c>
      <c r="J108" s="2" t="s">
        <v>306</v>
      </c>
      <c r="K108" s="4" t="str">
        <f t="shared" si="1"/>
        <v>4Y / 0N</v>
      </c>
      <c r="L108" s="2" t="s">
        <v>19</v>
      </c>
      <c r="M108" s="2"/>
    </row>
    <row r="109" spans="1:13" ht="98.1" customHeight="1" x14ac:dyDescent="0.2">
      <c r="A109" s="2" t="s">
        <v>439</v>
      </c>
      <c r="B109" s="3" t="s">
        <v>24</v>
      </c>
      <c r="C109" s="3" t="s">
        <v>24</v>
      </c>
      <c r="D109" s="2" t="s">
        <v>440</v>
      </c>
      <c r="E109" s="3" t="s">
        <v>24</v>
      </c>
      <c r="F109" s="2" t="s">
        <v>441</v>
      </c>
      <c r="G109" s="3" t="s">
        <v>14</v>
      </c>
      <c r="H109" s="2" t="s">
        <v>442</v>
      </c>
      <c r="I109" s="3" t="s">
        <v>24</v>
      </c>
      <c r="J109" s="2" t="s">
        <v>443</v>
      </c>
      <c r="K109" s="4" t="str">
        <f t="shared" si="1"/>
        <v>1Y / 3N</v>
      </c>
      <c r="L109" s="2" t="s">
        <v>26</v>
      </c>
      <c r="M109" s="2" t="s">
        <v>120</v>
      </c>
    </row>
    <row r="110" spans="1:13" ht="98.1" customHeight="1" x14ac:dyDescent="0.2">
      <c r="A110" s="2" t="s">
        <v>444</v>
      </c>
      <c r="B110" s="3" t="s">
        <v>24</v>
      </c>
      <c r="C110" s="3" t="s">
        <v>24</v>
      </c>
      <c r="D110" s="2" t="s">
        <v>85</v>
      </c>
      <c r="E110" s="3" t="s">
        <v>24</v>
      </c>
      <c r="F110" s="2" t="s">
        <v>445</v>
      </c>
      <c r="G110" s="3" t="s">
        <v>24</v>
      </c>
      <c r="H110" s="2" t="s">
        <v>389</v>
      </c>
      <c r="I110" s="3" t="s">
        <v>24</v>
      </c>
      <c r="J110" s="2" t="s">
        <v>446</v>
      </c>
      <c r="K110" s="4" t="str">
        <f t="shared" si="1"/>
        <v>0Y / 4N</v>
      </c>
      <c r="L110" s="2" t="s">
        <v>19</v>
      </c>
      <c r="M110" s="2"/>
    </row>
    <row r="111" spans="1:13" ht="98.1" customHeight="1" x14ac:dyDescent="0.2">
      <c r="A111" s="2" t="s">
        <v>447</v>
      </c>
      <c r="B111" s="3" t="s">
        <v>14</v>
      </c>
      <c r="C111" s="3" t="s">
        <v>14</v>
      </c>
      <c r="D111" s="2" t="s">
        <v>260</v>
      </c>
      <c r="E111" s="3" t="s">
        <v>14</v>
      </c>
      <c r="F111" s="2" t="s">
        <v>382</v>
      </c>
      <c r="G111" s="3" t="s">
        <v>14</v>
      </c>
      <c r="H111" s="2" t="s">
        <v>284</v>
      </c>
      <c r="I111" s="3" t="s">
        <v>14</v>
      </c>
      <c r="J111" s="2" t="s">
        <v>306</v>
      </c>
      <c r="K111" s="4" t="str">
        <f t="shared" si="1"/>
        <v>4Y / 0N</v>
      </c>
      <c r="L111" s="2" t="s">
        <v>19</v>
      </c>
      <c r="M111" s="2"/>
    </row>
    <row r="112" spans="1:13" ht="98.1" customHeight="1" x14ac:dyDescent="0.2">
      <c r="A112" s="2" t="s">
        <v>448</v>
      </c>
      <c r="B112" s="3" t="s">
        <v>24</v>
      </c>
      <c r="C112" s="3" t="s">
        <v>24</v>
      </c>
      <c r="D112" s="2" t="s">
        <v>85</v>
      </c>
      <c r="E112" s="3" t="s">
        <v>24</v>
      </c>
      <c r="F112" s="2" t="s">
        <v>449</v>
      </c>
      <c r="G112" s="3" t="s">
        <v>14</v>
      </c>
      <c r="H112" s="2" t="s">
        <v>450</v>
      </c>
      <c r="I112" s="3" t="s">
        <v>24</v>
      </c>
      <c r="J112" s="2" t="s">
        <v>451</v>
      </c>
      <c r="K112" s="4" t="str">
        <f t="shared" si="1"/>
        <v>1Y / 3N</v>
      </c>
      <c r="L112" s="2" t="s">
        <v>38</v>
      </c>
      <c r="M112" s="2" t="s">
        <v>202</v>
      </c>
    </row>
    <row r="113" spans="1:13" ht="98.1" customHeight="1" x14ac:dyDescent="0.2">
      <c r="A113" s="2" t="s">
        <v>452</v>
      </c>
      <c r="B113" s="3" t="s">
        <v>24</v>
      </c>
      <c r="C113" s="3" t="s">
        <v>24</v>
      </c>
      <c r="D113" s="2" t="s">
        <v>453</v>
      </c>
      <c r="E113" s="3" t="s">
        <v>24</v>
      </c>
      <c r="F113" s="2" t="s">
        <v>449</v>
      </c>
      <c r="G113" s="3" t="s">
        <v>24</v>
      </c>
      <c r="H113" s="2" t="s">
        <v>85</v>
      </c>
      <c r="I113" s="3" t="s">
        <v>24</v>
      </c>
      <c r="J113" s="2" t="s">
        <v>454</v>
      </c>
      <c r="K113" s="4" t="str">
        <f t="shared" si="1"/>
        <v>0Y / 4N</v>
      </c>
      <c r="L113" s="2" t="s">
        <v>19</v>
      </c>
      <c r="M113" s="2"/>
    </row>
    <row r="114" spans="1:13" ht="98.1" customHeight="1" x14ac:dyDescent="0.2">
      <c r="A114" s="2" t="s">
        <v>455</v>
      </c>
      <c r="B114" s="3" t="s">
        <v>24</v>
      </c>
      <c r="C114" s="3" t="s">
        <v>14</v>
      </c>
      <c r="D114" s="2" t="s">
        <v>260</v>
      </c>
      <c r="E114" s="3" t="s">
        <v>24</v>
      </c>
      <c r="F114" s="2" t="s">
        <v>449</v>
      </c>
      <c r="G114" s="3" t="s">
        <v>14</v>
      </c>
      <c r="H114" s="2" t="s">
        <v>456</v>
      </c>
      <c r="I114" s="3" t="s">
        <v>14</v>
      </c>
      <c r="J114" s="2" t="s">
        <v>457</v>
      </c>
      <c r="K114" s="4" t="str">
        <f t="shared" si="1"/>
        <v>3Y / 1N</v>
      </c>
      <c r="L114" s="2" t="s">
        <v>38</v>
      </c>
      <c r="M114" s="2" t="s">
        <v>202</v>
      </c>
    </row>
    <row r="115" spans="1:13" ht="98.1" customHeight="1" x14ac:dyDescent="0.2">
      <c r="A115" s="2" t="s">
        <v>458</v>
      </c>
      <c r="B115" s="3" t="s">
        <v>24</v>
      </c>
      <c r="C115" s="3" t="s">
        <v>24</v>
      </c>
      <c r="D115" s="2" t="s">
        <v>396</v>
      </c>
      <c r="E115" s="3" t="s">
        <v>24</v>
      </c>
      <c r="F115" s="2" t="s">
        <v>459</v>
      </c>
      <c r="G115" s="3" t="s">
        <v>24</v>
      </c>
      <c r="H115" s="2" t="s">
        <v>85</v>
      </c>
      <c r="I115" s="3" t="s">
        <v>24</v>
      </c>
      <c r="J115" s="2" t="s">
        <v>460</v>
      </c>
      <c r="K115" s="4" t="str">
        <f t="shared" si="1"/>
        <v>0Y / 4N</v>
      </c>
      <c r="L115" s="2" t="s">
        <v>19</v>
      </c>
      <c r="M115" s="2"/>
    </row>
    <row r="116" spans="1:13" ht="98.1" customHeight="1" x14ac:dyDescent="0.2">
      <c r="A116" s="2" t="s">
        <v>461</v>
      </c>
      <c r="B116" s="3" t="s">
        <v>14</v>
      </c>
      <c r="C116" s="3" t="s">
        <v>14</v>
      </c>
      <c r="D116" s="2" t="s">
        <v>462</v>
      </c>
      <c r="E116" s="3" t="s">
        <v>14</v>
      </c>
      <c r="F116" s="2" t="s">
        <v>463</v>
      </c>
      <c r="G116" s="3" t="s">
        <v>14</v>
      </c>
      <c r="H116" s="2" t="s">
        <v>464</v>
      </c>
      <c r="I116" s="3" t="s">
        <v>24</v>
      </c>
      <c r="J116" s="2" t="s">
        <v>465</v>
      </c>
      <c r="K116" s="4" t="str">
        <f t="shared" si="1"/>
        <v>3Y / 1N</v>
      </c>
      <c r="L116" s="2" t="s">
        <v>38</v>
      </c>
      <c r="M116" s="2" t="s">
        <v>466</v>
      </c>
    </row>
    <row r="117" spans="1:13" ht="98.1" customHeight="1" x14ac:dyDescent="0.2">
      <c r="A117" s="2" t="s">
        <v>467</v>
      </c>
      <c r="B117" s="3" t="s">
        <v>24</v>
      </c>
      <c r="C117" s="3" t="s">
        <v>14</v>
      </c>
      <c r="D117" s="2" t="s">
        <v>468</v>
      </c>
      <c r="E117" s="3" t="s">
        <v>24</v>
      </c>
      <c r="F117" s="2" t="s">
        <v>459</v>
      </c>
      <c r="G117" s="3" t="s">
        <v>14</v>
      </c>
      <c r="H117" s="2" t="s">
        <v>450</v>
      </c>
      <c r="I117" s="3" t="s">
        <v>24</v>
      </c>
      <c r="J117" s="2" t="s">
        <v>469</v>
      </c>
      <c r="K117" s="4" t="str">
        <f t="shared" si="1"/>
        <v>2Y / 2N</v>
      </c>
      <c r="L117" s="2" t="s">
        <v>38</v>
      </c>
      <c r="M117" s="2" t="s">
        <v>202</v>
      </c>
    </row>
    <row r="118" spans="1:13" ht="98.1" customHeight="1" x14ac:dyDescent="0.2">
      <c r="A118" s="2" t="s">
        <v>470</v>
      </c>
      <c r="B118" s="3" t="s">
        <v>14</v>
      </c>
      <c r="C118" s="3" t="s">
        <v>14</v>
      </c>
      <c r="D118" s="2" t="s">
        <v>462</v>
      </c>
      <c r="E118" s="3" t="s">
        <v>14</v>
      </c>
      <c r="F118" s="2" t="s">
        <v>463</v>
      </c>
      <c r="G118" s="3" t="s">
        <v>14</v>
      </c>
      <c r="H118" s="2" t="s">
        <v>471</v>
      </c>
      <c r="I118" s="3" t="s">
        <v>24</v>
      </c>
      <c r="J118" s="2" t="s">
        <v>472</v>
      </c>
      <c r="K118" s="4" t="str">
        <f t="shared" si="1"/>
        <v>3Y / 1N</v>
      </c>
      <c r="L118" s="2" t="s">
        <v>38</v>
      </c>
      <c r="M118" s="2" t="s">
        <v>110</v>
      </c>
    </row>
    <row r="119" spans="1:13" ht="98.1" customHeight="1" x14ac:dyDescent="0.2">
      <c r="A119" s="2" t="s">
        <v>473</v>
      </c>
      <c r="B119" s="3" t="s">
        <v>24</v>
      </c>
      <c r="C119" s="3" t="s">
        <v>24</v>
      </c>
      <c r="D119" s="2" t="s">
        <v>474</v>
      </c>
      <c r="E119" s="3" t="s">
        <v>24</v>
      </c>
      <c r="F119" s="2" t="s">
        <v>459</v>
      </c>
      <c r="G119" s="3" t="s">
        <v>24</v>
      </c>
      <c r="H119" s="2" t="s">
        <v>475</v>
      </c>
      <c r="I119" s="3" t="s">
        <v>24</v>
      </c>
      <c r="J119" s="2" t="s">
        <v>476</v>
      </c>
      <c r="K119" s="4" t="str">
        <f t="shared" si="1"/>
        <v>0Y / 4N</v>
      </c>
      <c r="L119" s="2" t="s">
        <v>19</v>
      </c>
      <c r="M119" s="2"/>
    </row>
    <row r="120" spans="1:13" ht="98.1" customHeight="1" x14ac:dyDescent="0.2">
      <c r="A120" s="2" t="s">
        <v>477</v>
      </c>
      <c r="B120" s="3" t="s">
        <v>14</v>
      </c>
      <c r="C120" s="3" t="s">
        <v>24</v>
      </c>
      <c r="D120" s="2" t="s">
        <v>478</v>
      </c>
      <c r="E120" s="3" t="s">
        <v>14</v>
      </c>
      <c r="F120" s="2" t="s">
        <v>479</v>
      </c>
      <c r="G120" s="3" t="s">
        <v>14</v>
      </c>
      <c r="H120" s="2" t="s">
        <v>480</v>
      </c>
      <c r="I120" s="3" t="s">
        <v>14</v>
      </c>
      <c r="J120" s="2" t="s">
        <v>306</v>
      </c>
      <c r="K120" s="4" t="str">
        <f t="shared" si="1"/>
        <v>3Y / 1N</v>
      </c>
      <c r="L120" s="2" t="s">
        <v>38</v>
      </c>
      <c r="M120" s="2" t="s">
        <v>110</v>
      </c>
    </row>
    <row r="121" spans="1:13" ht="98.1" customHeight="1" x14ac:dyDescent="0.2">
      <c r="A121" s="2" t="s">
        <v>481</v>
      </c>
      <c r="B121" s="3" t="s">
        <v>24</v>
      </c>
      <c r="C121" s="3" t="s">
        <v>14</v>
      </c>
      <c r="D121" s="2" t="s">
        <v>482</v>
      </c>
      <c r="E121" s="3" t="s">
        <v>24</v>
      </c>
      <c r="F121" s="2" t="s">
        <v>278</v>
      </c>
      <c r="G121" s="3" t="s">
        <v>24</v>
      </c>
      <c r="H121" s="2" t="s">
        <v>483</v>
      </c>
      <c r="I121" s="3" t="s">
        <v>24</v>
      </c>
      <c r="J121" s="2" t="s">
        <v>484</v>
      </c>
      <c r="K121" s="4" t="str">
        <f t="shared" si="1"/>
        <v>1Y / 3N</v>
      </c>
      <c r="L121" s="2" t="s">
        <v>38</v>
      </c>
      <c r="M121" s="2" t="s">
        <v>217</v>
      </c>
    </row>
    <row r="122" spans="1:13" ht="98.1" customHeight="1" x14ac:dyDescent="0.2">
      <c r="A122" s="2" t="s">
        <v>485</v>
      </c>
      <c r="B122" s="3" t="s">
        <v>24</v>
      </c>
      <c r="C122" s="3" t="s">
        <v>24</v>
      </c>
      <c r="D122" s="2" t="s">
        <v>388</v>
      </c>
      <c r="E122" s="3" t="s">
        <v>24</v>
      </c>
      <c r="F122" s="2" t="s">
        <v>486</v>
      </c>
      <c r="G122" s="3" t="s">
        <v>24</v>
      </c>
      <c r="H122" s="2" t="s">
        <v>487</v>
      </c>
      <c r="I122" s="3" t="s">
        <v>24</v>
      </c>
      <c r="J122" s="2" t="s">
        <v>488</v>
      </c>
      <c r="K122" s="4" t="str">
        <f t="shared" si="1"/>
        <v>0Y / 4N</v>
      </c>
      <c r="L122" s="2" t="s">
        <v>19</v>
      </c>
      <c r="M122" s="2"/>
    </row>
    <row r="123" spans="1:13" ht="98.1" customHeight="1" x14ac:dyDescent="0.2">
      <c r="A123" s="2" t="s">
        <v>489</v>
      </c>
      <c r="B123" s="3" t="s">
        <v>14</v>
      </c>
      <c r="C123" s="3" t="s">
        <v>14</v>
      </c>
      <c r="D123" s="2" t="s">
        <v>490</v>
      </c>
      <c r="E123" s="3" t="s">
        <v>14</v>
      </c>
      <c r="F123" s="2" t="s">
        <v>491</v>
      </c>
      <c r="G123" s="3" t="s">
        <v>14</v>
      </c>
      <c r="H123" s="2" t="s">
        <v>492</v>
      </c>
      <c r="I123" s="3" t="s">
        <v>14</v>
      </c>
      <c r="J123" s="2" t="s">
        <v>306</v>
      </c>
      <c r="K123" s="4" t="str">
        <f t="shared" si="1"/>
        <v>4Y / 0N</v>
      </c>
      <c r="L123" s="2" t="s">
        <v>19</v>
      </c>
      <c r="M123" s="2"/>
    </row>
    <row r="124" spans="1:13" ht="98.1" customHeight="1" x14ac:dyDescent="0.2">
      <c r="A124" s="2" t="s">
        <v>493</v>
      </c>
      <c r="B124" s="3" t="s">
        <v>14</v>
      </c>
      <c r="C124" s="3" t="s">
        <v>14</v>
      </c>
      <c r="D124" s="2" t="s">
        <v>494</v>
      </c>
      <c r="E124" s="3" t="s">
        <v>14</v>
      </c>
      <c r="F124" s="2" t="s">
        <v>382</v>
      </c>
      <c r="G124" s="3" t="s">
        <v>14</v>
      </c>
      <c r="H124" s="2" t="s">
        <v>284</v>
      </c>
      <c r="I124" s="3" t="s">
        <v>24</v>
      </c>
      <c r="J124" s="2" t="s">
        <v>495</v>
      </c>
      <c r="K124" s="4" t="str">
        <f t="shared" si="1"/>
        <v>3Y / 1N</v>
      </c>
      <c r="L124" s="2" t="s">
        <v>38</v>
      </c>
      <c r="M124" s="2" t="s">
        <v>110</v>
      </c>
    </row>
    <row r="125" spans="1:13" ht="98.1" customHeight="1" x14ac:dyDescent="0.2">
      <c r="A125" s="2" t="s">
        <v>496</v>
      </c>
      <c r="B125" s="3" t="s">
        <v>14</v>
      </c>
      <c r="C125" s="3" t="s">
        <v>14</v>
      </c>
      <c r="D125" s="2" t="s">
        <v>260</v>
      </c>
      <c r="E125" s="3" t="s">
        <v>14</v>
      </c>
      <c r="F125" s="2" t="s">
        <v>382</v>
      </c>
      <c r="G125" s="3" t="s">
        <v>14</v>
      </c>
      <c r="H125" s="2" t="s">
        <v>497</v>
      </c>
      <c r="I125" s="3" t="s">
        <v>14</v>
      </c>
      <c r="J125" s="2" t="s">
        <v>306</v>
      </c>
      <c r="K125" s="4" t="str">
        <f t="shared" si="1"/>
        <v>4Y / 0N</v>
      </c>
      <c r="L125" s="2" t="s">
        <v>19</v>
      </c>
      <c r="M125" s="2"/>
    </row>
    <row r="126" spans="1:13" ht="98.1" customHeight="1" x14ac:dyDescent="0.2">
      <c r="A126" s="2" t="s">
        <v>498</v>
      </c>
      <c r="B126" s="3" t="s">
        <v>24</v>
      </c>
      <c r="C126" s="3" t="s">
        <v>14</v>
      </c>
      <c r="D126" s="2" t="s">
        <v>260</v>
      </c>
      <c r="E126" s="3" t="s">
        <v>14</v>
      </c>
      <c r="F126" s="2" t="s">
        <v>382</v>
      </c>
      <c r="G126" s="3" t="s">
        <v>24</v>
      </c>
      <c r="H126" s="2" t="s">
        <v>499</v>
      </c>
      <c r="I126" s="3" t="s">
        <v>14</v>
      </c>
      <c r="J126" s="2" t="s">
        <v>306</v>
      </c>
      <c r="K126" s="4" t="str">
        <f t="shared" si="1"/>
        <v>3Y / 1N</v>
      </c>
      <c r="L126" s="2" t="s">
        <v>38</v>
      </c>
      <c r="M126" s="2" t="s">
        <v>39</v>
      </c>
    </row>
    <row r="127" spans="1:13" ht="98.1" customHeight="1" x14ac:dyDescent="0.2">
      <c r="A127" s="2" t="s">
        <v>500</v>
      </c>
      <c r="B127" s="3" t="s">
        <v>24</v>
      </c>
      <c r="C127" s="3" t="s">
        <v>24</v>
      </c>
      <c r="D127" s="2" t="s">
        <v>440</v>
      </c>
      <c r="E127" s="3" t="s">
        <v>24</v>
      </c>
      <c r="F127" s="2" t="s">
        <v>278</v>
      </c>
      <c r="G127" s="3" t="s">
        <v>14</v>
      </c>
      <c r="H127" s="2" t="s">
        <v>501</v>
      </c>
      <c r="I127" s="3" t="s">
        <v>24</v>
      </c>
      <c r="J127" s="2" t="s">
        <v>502</v>
      </c>
      <c r="K127" s="4" t="str">
        <f t="shared" si="1"/>
        <v>1Y / 3N</v>
      </c>
      <c r="L127" s="2" t="s">
        <v>38</v>
      </c>
      <c r="M127" s="2" t="s">
        <v>336</v>
      </c>
    </row>
    <row r="128" spans="1:13" ht="98.1" customHeight="1" x14ac:dyDescent="0.2">
      <c r="A128" s="2" t="s">
        <v>503</v>
      </c>
      <c r="B128" s="3" t="s">
        <v>24</v>
      </c>
      <c r="C128" s="3" t="s">
        <v>24</v>
      </c>
      <c r="D128" s="2" t="s">
        <v>363</v>
      </c>
      <c r="E128" s="3" t="s">
        <v>24</v>
      </c>
      <c r="F128" s="2" t="s">
        <v>504</v>
      </c>
      <c r="G128" s="3" t="s">
        <v>14</v>
      </c>
      <c r="H128" s="2" t="s">
        <v>505</v>
      </c>
      <c r="I128" s="3" t="s">
        <v>24</v>
      </c>
      <c r="J128" s="2" t="s">
        <v>506</v>
      </c>
      <c r="K128" s="4" t="str">
        <f t="shared" si="1"/>
        <v>1Y / 3N</v>
      </c>
      <c r="L128" s="2" t="s">
        <v>38</v>
      </c>
      <c r="M128" s="2" t="s">
        <v>217</v>
      </c>
    </row>
    <row r="129" spans="1:13" ht="98.1" customHeight="1" x14ac:dyDescent="0.2">
      <c r="A129" s="2" t="s">
        <v>507</v>
      </c>
      <c r="B129" s="3" t="s">
        <v>14</v>
      </c>
      <c r="C129" s="3" t="s">
        <v>14</v>
      </c>
      <c r="D129" s="2" t="s">
        <v>372</v>
      </c>
      <c r="E129" s="3" t="s">
        <v>14</v>
      </c>
      <c r="F129" s="2" t="s">
        <v>508</v>
      </c>
      <c r="G129" s="3" t="s">
        <v>14</v>
      </c>
      <c r="H129" s="2" t="s">
        <v>509</v>
      </c>
      <c r="I129" s="3" t="s">
        <v>14</v>
      </c>
      <c r="J129" s="2" t="s">
        <v>306</v>
      </c>
      <c r="K129" s="4" t="str">
        <f t="shared" si="1"/>
        <v>4Y / 0N</v>
      </c>
      <c r="L129" s="2" t="s">
        <v>19</v>
      </c>
      <c r="M129" s="2"/>
    </row>
    <row r="130" spans="1:13" ht="98.1" customHeight="1" x14ac:dyDescent="0.2">
      <c r="A130" s="2" t="s">
        <v>510</v>
      </c>
      <c r="B130" s="3" t="s">
        <v>14</v>
      </c>
      <c r="C130" s="3" t="s">
        <v>14</v>
      </c>
      <c r="D130" s="2" t="s">
        <v>511</v>
      </c>
      <c r="E130" s="3" t="s">
        <v>14</v>
      </c>
      <c r="F130" s="2" t="s">
        <v>382</v>
      </c>
      <c r="G130" s="3" t="s">
        <v>14</v>
      </c>
      <c r="H130" s="2" t="s">
        <v>512</v>
      </c>
      <c r="I130" s="3" t="s">
        <v>14</v>
      </c>
      <c r="J130" s="2" t="s">
        <v>306</v>
      </c>
      <c r="K130" s="4" t="str">
        <f t="shared" ref="K130:K193" si="2">(COUNTIF(C130,"Y")+COUNTIF(E130,"Y")+COUNTIF(G130,"Y")+COUNTIF(I130,"Y"))&amp;"Y / "&amp;(COUNTIF(C130,"N")+COUNTIF(E130,"N")+COUNTIF(G130,"N")+COUNTIF(I130,"N"))&amp;"N"&amp;IF(4-(COUNTIF(C130,"Y")+COUNTIF(E130,"Y")+COUNTIF(G130,"Y")+COUNTIF(I130,"Y"))-(COUNTIF(C130,"N")+COUNTIF(E130,"N")+COUNTIF(G130,"N")+COUNTIF(I130,"N"))&gt;0," / "&amp;(4-(COUNTIF(C130,"Y")+COUNTIF(E130,"Y")+COUNTIF(G130,"Y")+COUNTIF(I130,"Y"))-(COUNTIF(C130,"N")+COUNTIF(E130,"N")+COUNTIF(G130,"N")+COUNTIF(I130,"N")))&amp;" ambiguous","")</f>
        <v>4Y / 0N</v>
      </c>
      <c r="L130" s="2" t="s">
        <v>19</v>
      </c>
      <c r="M130" s="2"/>
    </row>
    <row r="131" spans="1:13" ht="98.1" customHeight="1" x14ac:dyDescent="0.2">
      <c r="A131" s="2" t="s">
        <v>513</v>
      </c>
      <c r="B131" s="3" t="s">
        <v>14</v>
      </c>
      <c r="C131" s="3" t="s">
        <v>14</v>
      </c>
      <c r="D131" s="2" t="s">
        <v>514</v>
      </c>
      <c r="E131" s="3" t="s">
        <v>14</v>
      </c>
      <c r="F131" s="2" t="s">
        <v>382</v>
      </c>
      <c r="G131" s="3" t="s">
        <v>14</v>
      </c>
      <c r="H131" s="2" t="s">
        <v>515</v>
      </c>
      <c r="I131" s="3" t="s">
        <v>14</v>
      </c>
      <c r="J131" s="2" t="s">
        <v>306</v>
      </c>
      <c r="K131" s="4" t="str">
        <f t="shared" si="2"/>
        <v>4Y / 0N</v>
      </c>
      <c r="L131" s="2" t="s">
        <v>19</v>
      </c>
      <c r="M131" s="2"/>
    </row>
    <row r="132" spans="1:13" ht="98.1" customHeight="1" x14ac:dyDescent="0.2">
      <c r="A132" s="2" t="s">
        <v>516</v>
      </c>
      <c r="B132" s="3" t="s">
        <v>24</v>
      </c>
      <c r="C132" s="3" t="s">
        <v>14</v>
      </c>
      <c r="D132" s="2" t="s">
        <v>517</v>
      </c>
      <c r="E132" s="3" t="s">
        <v>24</v>
      </c>
      <c r="F132" s="2" t="s">
        <v>214</v>
      </c>
      <c r="G132" s="3" t="s">
        <v>14</v>
      </c>
      <c r="H132" s="2" t="s">
        <v>518</v>
      </c>
      <c r="I132" s="3" t="s">
        <v>24</v>
      </c>
      <c r="J132" s="2" t="s">
        <v>519</v>
      </c>
      <c r="K132" s="4" t="str">
        <f t="shared" si="2"/>
        <v>2Y / 2N</v>
      </c>
      <c r="L132" s="2" t="s">
        <v>38</v>
      </c>
      <c r="M132" s="2" t="s">
        <v>217</v>
      </c>
    </row>
    <row r="133" spans="1:13" ht="98.1" customHeight="1" x14ac:dyDescent="0.2">
      <c r="A133" s="2" t="s">
        <v>520</v>
      </c>
      <c r="B133" s="3" t="s">
        <v>24</v>
      </c>
      <c r="C133" s="3" t="s">
        <v>24</v>
      </c>
      <c r="D133" s="2" t="s">
        <v>521</v>
      </c>
      <c r="E133" s="3" t="s">
        <v>24</v>
      </c>
      <c r="F133" s="2" t="s">
        <v>522</v>
      </c>
      <c r="G133" s="3" t="s">
        <v>24</v>
      </c>
      <c r="H133" s="2" t="s">
        <v>523</v>
      </c>
      <c r="I133" s="3" t="s">
        <v>24</v>
      </c>
      <c r="J133" s="2" t="s">
        <v>524</v>
      </c>
      <c r="K133" s="4" t="str">
        <f t="shared" si="2"/>
        <v>0Y / 4N</v>
      </c>
      <c r="L133" s="2" t="s">
        <v>19</v>
      </c>
      <c r="M133" s="2"/>
    </row>
    <row r="134" spans="1:13" ht="98.1" customHeight="1" x14ac:dyDescent="0.2">
      <c r="A134" s="2" t="s">
        <v>525</v>
      </c>
      <c r="B134" s="3" t="s">
        <v>24</v>
      </c>
      <c r="C134" s="3" t="s">
        <v>24</v>
      </c>
      <c r="D134" s="2" t="s">
        <v>526</v>
      </c>
      <c r="E134" s="3" t="s">
        <v>24</v>
      </c>
      <c r="F134" s="2" t="s">
        <v>527</v>
      </c>
      <c r="G134" s="3" t="s">
        <v>14</v>
      </c>
      <c r="H134" s="2" t="s">
        <v>528</v>
      </c>
      <c r="I134" s="3" t="s">
        <v>14</v>
      </c>
      <c r="J134" s="2" t="s">
        <v>529</v>
      </c>
      <c r="K134" s="4" t="str">
        <f t="shared" si="2"/>
        <v>2Y / 2N</v>
      </c>
      <c r="L134" s="2" t="s">
        <v>38</v>
      </c>
      <c r="M134" s="2" t="s">
        <v>66</v>
      </c>
    </row>
    <row r="135" spans="1:13" ht="98.1" customHeight="1" x14ac:dyDescent="0.2">
      <c r="A135" s="2" t="s">
        <v>530</v>
      </c>
      <c r="B135" s="3" t="s">
        <v>14</v>
      </c>
      <c r="C135" s="3" t="s">
        <v>14</v>
      </c>
      <c r="D135" s="2" t="s">
        <v>260</v>
      </c>
      <c r="E135" s="3" t="s">
        <v>14</v>
      </c>
      <c r="F135" s="2" t="s">
        <v>531</v>
      </c>
      <c r="G135" s="3" t="s">
        <v>14</v>
      </c>
      <c r="H135" s="2" t="s">
        <v>532</v>
      </c>
      <c r="I135" s="3" t="s">
        <v>14</v>
      </c>
      <c r="J135" s="2" t="s">
        <v>306</v>
      </c>
      <c r="K135" s="4" t="str">
        <f t="shared" si="2"/>
        <v>4Y / 0N</v>
      </c>
      <c r="L135" s="2" t="s">
        <v>19</v>
      </c>
      <c r="M135" s="2"/>
    </row>
    <row r="136" spans="1:13" ht="98.1" customHeight="1" x14ac:dyDescent="0.2">
      <c r="A136" s="2" t="s">
        <v>533</v>
      </c>
      <c r="B136" s="3" t="s">
        <v>14</v>
      </c>
      <c r="C136" s="3" t="s">
        <v>14</v>
      </c>
      <c r="D136" s="2" t="s">
        <v>534</v>
      </c>
      <c r="E136" s="3" t="s">
        <v>14</v>
      </c>
      <c r="F136" s="2" t="s">
        <v>535</v>
      </c>
      <c r="G136" s="3" t="s">
        <v>14</v>
      </c>
      <c r="H136" s="2" t="s">
        <v>427</v>
      </c>
      <c r="I136" s="3" t="s">
        <v>14</v>
      </c>
      <c r="J136" s="2" t="s">
        <v>536</v>
      </c>
      <c r="K136" s="4" t="str">
        <f t="shared" si="2"/>
        <v>4Y / 0N</v>
      </c>
      <c r="L136" s="2" t="s">
        <v>19</v>
      </c>
      <c r="M136" s="2"/>
    </row>
    <row r="137" spans="1:13" ht="98.1" customHeight="1" x14ac:dyDescent="0.2">
      <c r="A137" s="2" t="s">
        <v>537</v>
      </c>
      <c r="B137" s="3" t="s">
        <v>14</v>
      </c>
      <c r="C137" s="3" t="s">
        <v>14</v>
      </c>
      <c r="D137" s="2" t="s">
        <v>538</v>
      </c>
      <c r="E137" s="3" t="s">
        <v>14</v>
      </c>
      <c r="F137" s="2" t="s">
        <v>539</v>
      </c>
      <c r="G137" s="3" t="s">
        <v>14</v>
      </c>
      <c r="H137" s="2" t="s">
        <v>284</v>
      </c>
      <c r="I137" s="3" t="s">
        <v>14</v>
      </c>
      <c r="J137" s="2" t="s">
        <v>306</v>
      </c>
      <c r="K137" s="4" t="str">
        <f t="shared" si="2"/>
        <v>4Y / 0N</v>
      </c>
      <c r="L137" s="2" t="s">
        <v>19</v>
      </c>
      <c r="M137" s="2"/>
    </row>
    <row r="138" spans="1:13" ht="98.1" customHeight="1" x14ac:dyDescent="0.2">
      <c r="A138" s="2" t="s">
        <v>540</v>
      </c>
      <c r="B138" s="3" t="s">
        <v>24</v>
      </c>
      <c r="C138" s="3" t="s">
        <v>24</v>
      </c>
      <c r="D138" s="2" t="s">
        <v>541</v>
      </c>
      <c r="E138" s="3" t="s">
        <v>24</v>
      </c>
      <c r="F138" s="2" t="s">
        <v>542</v>
      </c>
      <c r="G138" s="3" t="s">
        <v>14</v>
      </c>
      <c r="H138" s="2" t="s">
        <v>543</v>
      </c>
      <c r="I138" s="3" t="s">
        <v>14</v>
      </c>
      <c r="J138" s="2" t="s">
        <v>544</v>
      </c>
      <c r="K138" s="4" t="str">
        <f t="shared" si="2"/>
        <v>2Y / 2N</v>
      </c>
      <c r="L138" s="2" t="s">
        <v>38</v>
      </c>
      <c r="M138" s="2" t="s">
        <v>545</v>
      </c>
    </row>
    <row r="139" spans="1:13" ht="98.1" customHeight="1" x14ac:dyDescent="0.2">
      <c r="A139" s="2" t="s">
        <v>546</v>
      </c>
      <c r="B139" s="3" t="s">
        <v>14</v>
      </c>
      <c r="C139" s="3" t="s">
        <v>14</v>
      </c>
      <c r="D139" s="2" t="s">
        <v>260</v>
      </c>
      <c r="E139" s="3" t="s">
        <v>14</v>
      </c>
      <c r="F139" s="2" t="s">
        <v>547</v>
      </c>
      <c r="G139" s="3" t="s">
        <v>14</v>
      </c>
      <c r="H139" s="2" t="s">
        <v>548</v>
      </c>
      <c r="I139" s="3" t="s">
        <v>14</v>
      </c>
      <c r="J139" s="2" t="s">
        <v>549</v>
      </c>
      <c r="K139" s="4" t="str">
        <f t="shared" si="2"/>
        <v>4Y / 0N</v>
      </c>
      <c r="L139" s="2" t="s">
        <v>19</v>
      </c>
      <c r="M139" s="2"/>
    </row>
    <row r="140" spans="1:13" ht="98.1" customHeight="1" x14ac:dyDescent="0.2">
      <c r="A140" s="2" t="s">
        <v>550</v>
      </c>
      <c r="B140" s="3" t="s">
        <v>24</v>
      </c>
      <c r="C140" s="3" t="s">
        <v>24</v>
      </c>
      <c r="D140" s="2" t="s">
        <v>551</v>
      </c>
      <c r="E140" s="3" t="s">
        <v>24</v>
      </c>
      <c r="F140" s="2" t="s">
        <v>552</v>
      </c>
      <c r="G140" s="3" t="s">
        <v>24</v>
      </c>
      <c r="H140" s="2" t="s">
        <v>130</v>
      </c>
      <c r="I140" s="3" t="s">
        <v>24</v>
      </c>
      <c r="J140" s="2" t="s">
        <v>553</v>
      </c>
      <c r="K140" s="4" t="str">
        <f t="shared" si="2"/>
        <v>0Y / 4N</v>
      </c>
      <c r="L140" s="2" t="s">
        <v>19</v>
      </c>
      <c r="M140" s="2"/>
    </row>
    <row r="141" spans="1:13" ht="98.1" customHeight="1" x14ac:dyDescent="0.2">
      <c r="A141" s="2" t="s">
        <v>554</v>
      </c>
      <c r="B141" s="3" t="s">
        <v>14</v>
      </c>
      <c r="C141" s="3" t="s">
        <v>14</v>
      </c>
      <c r="D141" s="2" t="s">
        <v>260</v>
      </c>
      <c r="E141" s="3" t="s">
        <v>14</v>
      </c>
      <c r="F141" s="2" t="s">
        <v>382</v>
      </c>
      <c r="G141" s="3" t="s">
        <v>14</v>
      </c>
      <c r="H141" s="2" t="s">
        <v>555</v>
      </c>
      <c r="I141" s="3" t="s">
        <v>14</v>
      </c>
      <c r="J141" s="2" t="s">
        <v>306</v>
      </c>
      <c r="K141" s="4" t="str">
        <f t="shared" si="2"/>
        <v>4Y / 0N</v>
      </c>
      <c r="L141" s="2" t="s">
        <v>19</v>
      </c>
      <c r="M141" s="2"/>
    </row>
    <row r="142" spans="1:13" ht="98.1" customHeight="1" x14ac:dyDescent="0.2">
      <c r="A142" s="2" t="s">
        <v>556</v>
      </c>
      <c r="B142" s="3" t="s">
        <v>14</v>
      </c>
      <c r="C142" s="3" t="s">
        <v>14</v>
      </c>
      <c r="D142" s="2" t="s">
        <v>557</v>
      </c>
      <c r="E142" s="3" t="s">
        <v>14</v>
      </c>
      <c r="F142" s="2" t="s">
        <v>382</v>
      </c>
      <c r="G142" s="3" t="s">
        <v>24</v>
      </c>
      <c r="H142" s="2" t="s">
        <v>558</v>
      </c>
      <c r="I142" s="3" t="s">
        <v>24</v>
      </c>
      <c r="J142" s="2" t="s">
        <v>559</v>
      </c>
      <c r="K142" s="4" t="str">
        <f t="shared" si="2"/>
        <v>2Y / 2N</v>
      </c>
      <c r="L142" s="2" t="s">
        <v>38</v>
      </c>
      <c r="M142" s="2" t="s">
        <v>110</v>
      </c>
    </row>
    <row r="143" spans="1:13" ht="98.1" customHeight="1" x14ac:dyDescent="0.2">
      <c r="A143" s="2" t="s">
        <v>560</v>
      </c>
      <c r="B143" s="3" t="s">
        <v>24</v>
      </c>
      <c r="C143" s="3" t="s">
        <v>24</v>
      </c>
      <c r="D143" s="2" t="s">
        <v>561</v>
      </c>
      <c r="E143" s="3" t="s">
        <v>24</v>
      </c>
      <c r="F143" s="2" t="s">
        <v>562</v>
      </c>
      <c r="G143" s="3" t="s">
        <v>24</v>
      </c>
      <c r="H143" s="2" t="s">
        <v>563</v>
      </c>
      <c r="I143" s="3" t="s">
        <v>24</v>
      </c>
      <c r="J143" s="2" t="s">
        <v>564</v>
      </c>
      <c r="K143" s="4" t="str">
        <f t="shared" si="2"/>
        <v>0Y / 4N</v>
      </c>
      <c r="L143" s="2" t="s">
        <v>19</v>
      </c>
      <c r="M143" s="2"/>
    </row>
    <row r="144" spans="1:13" ht="98.1" customHeight="1" x14ac:dyDescent="0.2">
      <c r="A144" s="2" t="s">
        <v>565</v>
      </c>
      <c r="B144" s="3" t="s">
        <v>14</v>
      </c>
      <c r="C144" s="3" t="s">
        <v>14</v>
      </c>
      <c r="D144" s="2" t="s">
        <v>566</v>
      </c>
      <c r="E144" s="3" t="s">
        <v>14</v>
      </c>
      <c r="F144" s="2" t="s">
        <v>382</v>
      </c>
      <c r="G144" s="3" t="s">
        <v>14</v>
      </c>
      <c r="H144" s="2" t="s">
        <v>567</v>
      </c>
      <c r="I144" s="3" t="s">
        <v>14</v>
      </c>
      <c r="J144" s="2" t="s">
        <v>568</v>
      </c>
      <c r="K144" s="4" t="str">
        <f t="shared" si="2"/>
        <v>4Y / 0N</v>
      </c>
      <c r="L144" s="2" t="s">
        <v>19</v>
      </c>
      <c r="M144" s="2"/>
    </row>
    <row r="145" spans="1:13" ht="98.1" customHeight="1" x14ac:dyDescent="0.2">
      <c r="A145" s="2" t="s">
        <v>569</v>
      </c>
      <c r="B145" s="3" t="s">
        <v>14</v>
      </c>
      <c r="C145" s="3" t="s">
        <v>14</v>
      </c>
      <c r="D145" s="2" t="s">
        <v>260</v>
      </c>
      <c r="E145" s="3" t="s">
        <v>14</v>
      </c>
      <c r="F145" s="2" t="s">
        <v>570</v>
      </c>
      <c r="G145" s="3" t="s">
        <v>14</v>
      </c>
      <c r="H145" s="2" t="s">
        <v>571</v>
      </c>
      <c r="I145" s="3" t="s">
        <v>14</v>
      </c>
      <c r="J145" s="2" t="s">
        <v>306</v>
      </c>
      <c r="K145" s="4" t="str">
        <f t="shared" si="2"/>
        <v>4Y / 0N</v>
      </c>
      <c r="L145" s="2" t="s">
        <v>19</v>
      </c>
      <c r="M145" s="2"/>
    </row>
    <row r="146" spans="1:13" ht="98.1" customHeight="1" x14ac:dyDescent="0.2">
      <c r="A146" s="2" t="s">
        <v>572</v>
      </c>
      <c r="B146" s="3" t="s">
        <v>14</v>
      </c>
      <c r="C146" s="3" t="s">
        <v>14</v>
      </c>
      <c r="D146" s="2" t="s">
        <v>260</v>
      </c>
      <c r="E146" s="3" t="s">
        <v>14</v>
      </c>
      <c r="F146" s="2" t="s">
        <v>573</v>
      </c>
      <c r="G146" s="3" t="s">
        <v>14</v>
      </c>
      <c r="H146" s="2" t="s">
        <v>574</v>
      </c>
      <c r="I146" s="3" t="s">
        <v>14</v>
      </c>
      <c r="J146" s="2" t="s">
        <v>306</v>
      </c>
      <c r="K146" s="4" t="str">
        <f t="shared" si="2"/>
        <v>4Y / 0N</v>
      </c>
      <c r="L146" s="2" t="s">
        <v>19</v>
      </c>
      <c r="M146" s="2"/>
    </row>
    <row r="147" spans="1:13" ht="98.1" customHeight="1" x14ac:dyDescent="0.2">
      <c r="A147" s="2" t="s">
        <v>575</v>
      </c>
      <c r="B147" s="3" t="s">
        <v>24</v>
      </c>
      <c r="C147" s="3" t="s">
        <v>24</v>
      </c>
      <c r="D147" s="2" t="s">
        <v>576</v>
      </c>
      <c r="E147" s="3" t="s">
        <v>24</v>
      </c>
      <c r="F147" s="2" t="s">
        <v>577</v>
      </c>
      <c r="G147" s="3" t="s">
        <v>24</v>
      </c>
      <c r="H147" s="2" t="s">
        <v>126</v>
      </c>
      <c r="I147" s="3" t="s">
        <v>24</v>
      </c>
      <c r="J147" s="2" t="s">
        <v>578</v>
      </c>
      <c r="K147" s="4" t="str">
        <f t="shared" si="2"/>
        <v>0Y / 4N</v>
      </c>
      <c r="L147" s="2" t="s">
        <v>19</v>
      </c>
      <c r="M147" s="2"/>
    </row>
    <row r="148" spans="1:13" ht="98.1" customHeight="1" x14ac:dyDescent="0.2">
      <c r="A148" s="2" t="s">
        <v>579</v>
      </c>
      <c r="B148" s="3" t="s">
        <v>24</v>
      </c>
      <c r="C148" s="3" t="s">
        <v>24</v>
      </c>
      <c r="D148" s="2" t="s">
        <v>580</v>
      </c>
      <c r="E148" s="3" t="s">
        <v>24</v>
      </c>
      <c r="F148" s="2" t="s">
        <v>581</v>
      </c>
      <c r="G148" s="3" t="s">
        <v>24</v>
      </c>
      <c r="H148" s="2" t="s">
        <v>126</v>
      </c>
      <c r="I148" s="3" t="s">
        <v>24</v>
      </c>
      <c r="J148" s="2" t="s">
        <v>582</v>
      </c>
      <c r="K148" s="4" t="str">
        <f t="shared" si="2"/>
        <v>0Y / 4N</v>
      </c>
      <c r="L148" s="2" t="s">
        <v>19</v>
      </c>
      <c r="M148" s="2"/>
    </row>
    <row r="149" spans="1:13" ht="98.1" customHeight="1" x14ac:dyDescent="0.2">
      <c r="A149" s="2" t="s">
        <v>583</v>
      </c>
      <c r="B149" s="3" t="s">
        <v>24</v>
      </c>
      <c r="C149" s="3" t="s">
        <v>24</v>
      </c>
      <c r="D149" s="2" t="s">
        <v>584</v>
      </c>
      <c r="E149" s="3" t="s">
        <v>24</v>
      </c>
      <c r="F149" s="2" t="s">
        <v>585</v>
      </c>
      <c r="G149" s="3" t="s">
        <v>24</v>
      </c>
      <c r="H149" s="2" t="s">
        <v>586</v>
      </c>
      <c r="I149" s="3" t="s">
        <v>24</v>
      </c>
      <c r="J149" s="2" t="s">
        <v>587</v>
      </c>
      <c r="K149" s="4" t="str">
        <f t="shared" si="2"/>
        <v>0Y / 4N</v>
      </c>
      <c r="L149" s="2" t="s">
        <v>19</v>
      </c>
      <c r="M149" s="2"/>
    </row>
    <row r="150" spans="1:13" ht="98.1" customHeight="1" x14ac:dyDescent="0.2">
      <c r="A150" s="2" t="s">
        <v>588</v>
      </c>
      <c r="B150" s="3" t="s">
        <v>24</v>
      </c>
      <c r="C150" s="3" t="s">
        <v>24</v>
      </c>
      <c r="D150" s="2" t="s">
        <v>589</v>
      </c>
      <c r="E150" s="3" t="s">
        <v>24</v>
      </c>
      <c r="F150" s="2" t="s">
        <v>214</v>
      </c>
      <c r="G150" s="3" t="s">
        <v>14</v>
      </c>
      <c r="H150" s="2" t="s">
        <v>590</v>
      </c>
      <c r="I150" s="3" t="s">
        <v>24</v>
      </c>
      <c r="J150" s="2" t="s">
        <v>591</v>
      </c>
      <c r="K150" s="4" t="str">
        <f t="shared" si="2"/>
        <v>1Y / 3N</v>
      </c>
      <c r="L150" s="2" t="s">
        <v>38</v>
      </c>
      <c r="M150" s="2" t="s">
        <v>217</v>
      </c>
    </row>
    <row r="151" spans="1:13" ht="98.1" customHeight="1" x14ac:dyDescent="0.2">
      <c r="A151" s="2" t="s">
        <v>592</v>
      </c>
      <c r="B151" s="3" t="s">
        <v>14</v>
      </c>
      <c r="C151" s="3" t="s">
        <v>14</v>
      </c>
      <c r="D151" s="2" t="s">
        <v>260</v>
      </c>
      <c r="E151" s="3" t="s">
        <v>14</v>
      </c>
      <c r="F151" s="2" t="s">
        <v>593</v>
      </c>
      <c r="G151" s="3" t="s">
        <v>14</v>
      </c>
      <c r="H151" s="2" t="s">
        <v>594</v>
      </c>
      <c r="I151" s="3" t="s">
        <v>14</v>
      </c>
      <c r="J151" s="2" t="s">
        <v>422</v>
      </c>
      <c r="K151" s="4" t="str">
        <f t="shared" si="2"/>
        <v>4Y / 0N</v>
      </c>
      <c r="L151" s="2" t="s">
        <v>19</v>
      </c>
      <c r="M151" s="2"/>
    </row>
    <row r="152" spans="1:13" ht="98.1" customHeight="1" x14ac:dyDescent="0.2">
      <c r="A152" s="2" t="s">
        <v>595</v>
      </c>
      <c r="B152" s="3" t="s">
        <v>14</v>
      </c>
      <c r="C152" s="3" t="s">
        <v>14</v>
      </c>
      <c r="D152" s="2" t="s">
        <v>260</v>
      </c>
      <c r="E152" s="3" t="s">
        <v>14</v>
      </c>
      <c r="F152" s="2" t="s">
        <v>382</v>
      </c>
      <c r="G152" s="3" t="s">
        <v>14</v>
      </c>
      <c r="H152" s="2" t="s">
        <v>596</v>
      </c>
      <c r="I152" s="3" t="s">
        <v>14</v>
      </c>
      <c r="J152" s="2" t="s">
        <v>306</v>
      </c>
      <c r="K152" s="4" t="str">
        <f t="shared" si="2"/>
        <v>4Y / 0N</v>
      </c>
      <c r="L152" s="2" t="s">
        <v>19</v>
      </c>
      <c r="M152" s="2"/>
    </row>
    <row r="153" spans="1:13" ht="98.1" customHeight="1" x14ac:dyDescent="0.2">
      <c r="A153" s="2" t="s">
        <v>597</v>
      </c>
      <c r="B153" s="3" t="s">
        <v>24</v>
      </c>
      <c r="C153" s="3" t="s">
        <v>14</v>
      </c>
      <c r="D153" s="2" t="s">
        <v>538</v>
      </c>
      <c r="E153" s="3" t="s">
        <v>24</v>
      </c>
      <c r="F153" s="2" t="s">
        <v>598</v>
      </c>
      <c r="G153" s="3" t="s">
        <v>14</v>
      </c>
      <c r="H153" s="2" t="s">
        <v>599</v>
      </c>
      <c r="I153" s="3" t="s">
        <v>14</v>
      </c>
      <c r="J153" s="2" t="s">
        <v>600</v>
      </c>
      <c r="K153" s="4" t="str">
        <f t="shared" si="2"/>
        <v>3Y / 1N</v>
      </c>
      <c r="L153" s="2" t="s">
        <v>38</v>
      </c>
      <c r="M153" s="2" t="s">
        <v>601</v>
      </c>
    </row>
    <row r="154" spans="1:13" ht="98.1" customHeight="1" x14ac:dyDescent="0.2">
      <c r="A154" s="2" t="s">
        <v>602</v>
      </c>
      <c r="B154" s="3" t="s">
        <v>14</v>
      </c>
      <c r="C154" s="3" t="s">
        <v>14</v>
      </c>
      <c r="D154" s="2" t="s">
        <v>260</v>
      </c>
      <c r="E154" s="3" t="s">
        <v>14</v>
      </c>
      <c r="F154" s="2" t="s">
        <v>382</v>
      </c>
      <c r="G154" s="3" t="s">
        <v>14</v>
      </c>
      <c r="H154" s="2" t="s">
        <v>603</v>
      </c>
      <c r="I154" s="3" t="s">
        <v>14</v>
      </c>
      <c r="J154" s="2" t="s">
        <v>306</v>
      </c>
      <c r="K154" s="4" t="str">
        <f t="shared" si="2"/>
        <v>4Y / 0N</v>
      </c>
      <c r="L154" s="2" t="s">
        <v>19</v>
      </c>
      <c r="M154" s="2"/>
    </row>
    <row r="155" spans="1:13" ht="98.1" customHeight="1" x14ac:dyDescent="0.2">
      <c r="A155" s="2" t="s">
        <v>604</v>
      </c>
      <c r="B155" s="3" t="s">
        <v>14</v>
      </c>
      <c r="C155" s="3" t="s">
        <v>14</v>
      </c>
      <c r="D155" s="2" t="s">
        <v>260</v>
      </c>
      <c r="E155" s="3" t="s">
        <v>14</v>
      </c>
      <c r="F155" s="2" t="s">
        <v>605</v>
      </c>
      <c r="G155" s="3" t="s">
        <v>14</v>
      </c>
      <c r="H155" s="2" t="s">
        <v>606</v>
      </c>
      <c r="I155" s="3" t="s">
        <v>14</v>
      </c>
      <c r="J155" s="2" t="s">
        <v>607</v>
      </c>
      <c r="K155" s="4" t="str">
        <f t="shared" si="2"/>
        <v>4Y / 0N</v>
      </c>
      <c r="L155" s="2" t="s">
        <v>19</v>
      </c>
      <c r="M155" s="2"/>
    </row>
    <row r="156" spans="1:13" ht="98.1" customHeight="1" x14ac:dyDescent="0.2">
      <c r="A156" s="2" t="s">
        <v>608</v>
      </c>
      <c r="B156" s="3" t="s">
        <v>24</v>
      </c>
      <c r="C156" s="3" t="s">
        <v>24</v>
      </c>
      <c r="D156" s="2" t="s">
        <v>609</v>
      </c>
      <c r="E156" s="3" t="s">
        <v>24</v>
      </c>
      <c r="F156" s="2" t="s">
        <v>214</v>
      </c>
      <c r="G156" s="3" t="s">
        <v>24</v>
      </c>
      <c r="H156" s="2" t="s">
        <v>610</v>
      </c>
      <c r="I156" s="3" t="s">
        <v>24</v>
      </c>
      <c r="J156" s="2" t="s">
        <v>611</v>
      </c>
      <c r="K156" s="4" t="str">
        <f t="shared" si="2"/>
        <v>0Y / 4N</v>
      </c>
      <c r="L156" s="2" t="s">
        <v>19</v>
      </c>
      <c r="M156" s="2"/>
    </row>
    <row r="157" spans="1:13" ht="98.1" customHeight="1" x14ac:dyDescent="0.2">
      <c r="A157" s="2" t="s">
        <v>612</v>
      </c>
      <c r="B157" s="3" t="s">
        <v>14</v>
      </c>
      <c r="C157" s="3" t="s">
        <v>14</v>
      </c>
      <c r="D157" s="2" t="s">
        <v>538</v>
      </c>
      <c r="E157" s="3" t="s">
        <v>14</v>
      </c>
      <c r="F157" s="2" t="s">
        <v>613</v>
      </c>
      <c r="G157" s="3" t="s">
        <v>14</v>
      </c>
      <c r="H157" s="2" t="s">
        <v>614</v>
      </c>
      <c r="I157" s="3" t="s">
        <v>14</v>
      </c>
      <c r="J157" s="2" t="s">
        <v>306</v>
      </c>
      <c r="K157" s="4" t="str">
        <f t="shared" si="2"/>
        <v>4Y / 0N</v>
      </c>
      <c r="L157" s="2" t="s">
        <v>19</v>
      </c>
      <c r="M157" s="2"/>
    </row>
    <row r="158" spans="1:13" ht="98.1" customHeight="1" x14ac:dyDescent="0.2">
      <c r="A158" s="2" t="s">
        <v>615</v>
      </c>
      <c r="B158" s="3" t="s">
        <v>24</v>
      </c>
      <c r="C158" s="3" t="s">
        <v>24</v>
      </c>
      <c r="D158" s="2" t="s">
        <v>616</v>
      </c>
      <c r="E158" s="3" t="s">
        <v>24</v>
      </c>
      <c r="F158" s="2" t="s">
        <v>617</v>
      </c>
      <c r="G158" s="3" t="s">
        <v>24</v>
      </c>
      <c r="H158" s="2" t="s">
        <v>618</v>
      </c>
      <c r="I158" s="3" t="s">
        <v>24</v>
      </c>
      <c r="J158" s="2" t="s">
        <v>619</v>
      </c>
      <c r="K158" s="4" t="str">
        <f t="shared" si="2"/>
        <v>0Y / 4N</v>
      </c>
      <c r="L158" s="2" t="s">
        <v>19</v>
      </c>
      <c r="M158" s="2"/>
    </row>
    <row r="159" spans="1:13" ht="98.1" customHeight="1" x14ac:dyDescent="0.2">
      <c r="A159" s="2" t="s">
        <v>620</v>
      </c>
      <c r="B159" s="3" t="s">
        <v>14</v>
      </c>
      <c r="C159" s="3" t="s">
        <v>14</v>
      </c>
      <c r="D159" s="2" t="s">
        <v>621</v>
      </c>
      <c r="E159" s="3" t="s">
        <v>14</v>
      </c>
      <c r="F159" s="2" t="s">
        <v>622</v>
      </c>
      <c r="G159" s="3" t="s">
        <v>14</v>
      </c>
      <c r="H159" s="2" t="s">
        <v>284</v>
      </c>
      <c r="I159" s="3" t="s">
        <v>14</v>
      </c>
      <c r="J159" s="2" t="s">
        <v>306</v>
      </c>
      <c r="K159" s="4" t="str">
        <f t="shared" si="2"/>
        <v>4Y / 0N</v>
      </c>
      <c r="L159" s="2" t="s">
        <v>19</v>
      </c>
      <c r="M159" s="2"/>
    </row>
    <row r="160" spans="1:13" ht="98.1" customHeight="1" x14ac:dyDescent="0.2">
      <c r="A160" s="2" t="s">
        <v>623</v>
      </c>
      <c r="B160" s="3" t="s">
        <v>14</v>
      </c>
      <c r="C160" s="3" t="s">
        <v>14</v>
      </c>
      <c r="D160" s="2" t="s">
        <v>624</v>
      </c>
      <c r="E160" s="3" t="s">
        <v>14</v>
      </c>
      <c r="F160" s="2" t="s">
        <v>625</v>
      </c>
      <c r="G160" s="3" t="s">
        <v>14</v>
      </c>
      <c r="H160" s="2" t="s">
        <v>626</v>
      </c>
      <c r="I160" s="3" t="s">
        <v>14</v>
      </c>
      <c r="J160" s="2" t="s">
        <v>306</v>
      </c>
      <c r="K160" s="4" t="str">
        <f t="shared" si="2"/>
        <v>4Y / 0N</v>
      </c>
      <c r="L160" s="2" t="s">
        <v>19</v>
      </c>
      <c r="M160" s="2"/>
    </row>
    <row r="161" spans="1:13" ht="98.1" customHeight="1" x14ac:dyDescent="0.2">
      <c r="A161" s="2" t="s">
        <v>627</v>
      </c>
      <c r="B161" s="3" t="s">
        <v>14</v>
      </c>
      <c r="C161" s="3" t="s">
        <v>24</v>
      </c>
      <c r="D161" s="2" t="s">
        <v>628</v>
      </c>
      <c r="E161" s="3" t="s">
        <v>24</v>
      </c>
      <c r="F161" s="2" t="s">
        <v>629</v>
      </c>
      <c r="G161" s="3" t="s">
        <v>14</v>
      </c>
      <c r="H161" s="2" t="s">
        <v>630</v>
      </c>
      <c r="I161" s="3" t="s">
        <v>14</v>
      </c>
      <c r="J161" s="2" t="s">
        <v>600</v>
      </c>
      <c r="K161" s="4" t="str">
        <f t="shared" si="2"/>
        <v>2Y / 2N</v>
      </c>
      <c r="L161" s="2" t="s">
        <v>38</v>
      </c>
      <c r="M161" s="2" t="s">
        <v>104</v>
      </c>
    </row>
    <row r="162" spans="1:13" ht="98.1" customHeight="1" x14ac:dyDescent="0.2">
      <c r="A162" s="2" t="s">
        <v>631</v>
      </c>
      <c r="B162" s="3" t="s">
        <v>14</v>
      </c>
      <c r="C162" s="3" t="s">
        <v>14</v>
      </c>
      <c r="D162" s="2" t="s">
        <v>260</v>
      </c>
      <c r="E162" s="3" t="s">
        <v>14</v>
      </c>
      <c r="F162" s="2" t="s">
        <v>632</v>
      </c>
      <c r="G162" s="3" t="s">
        <v>14</v>
      </c>
      <c r="H162" s="2" t="s">
        <v>633</v>
      </c>
      <c r="I162" s="3" t="s">
        <v>14</v>
      </c>
      <c r="J162" s="2" t="s">
        <v>306</v>
      </c>
      <c r="K162" s="4" t="str">
        <f t="shared" si="2"/>
        <v>4Y / 0N</v>
      </c>
      <c r="L162" s="2" t="s">
        <v>19</v>
      </c>
      <c r="M162" s="2"/>
    </row>
    <row r="163" spans="1:13" ht="98.1" customHeight="1" x14ac:dyDescent="0.2">
      <c r="A163" s="2" t="s">
        <v>634</v>
      </c>
      <c r="B163" s="3" t="s">
        <v>24</v>
      </c>
      <c r="C163" s="3" t="s">
        <v>14</v>
      </c>
      <c r="D163" s="2" t="s">
        <v>635</v>
      </c>
      <c r="E163" s="3" t="s">
        <v>24</v>
      </c>
      <c r="F163" s="2" t="s">
        <v>636</v>
      </c>
      <c r="G163" s="3" t="s">
        <v>14</v>
      </c>
      <c r="H163" s="2" t="s">
        <v>637</v>
      </c>
      <c r="I163" s="3" t="s">
        <v>14</v>
      </c>
      <c r="J163" s="2" t="s">
        <v>607</v>
      </c>
      <c r="K163" s="4" t="str">
        <f t="shared" si="2"/>
        <v>3Y / 1N</v>
      </c>
      <c r="L163" s="2" t="s">
        <v>38</v>
      </c>
      <c r="M163" s="2" t="s">
        <v>39</v>
      </c>
    </row>
    <row r="164" spans="1:13" ht="98.1" customHeight="1" x14ac:dyDescent="0.2">
      <c r="A164" s="2" t="s">
        <v>638</v>
      </c>
      <c r="B164" s="3" t="s">
        <v>24</v>
      </c>
      <c r="C164" s="3" t="s">
        <v>24</v>
      </c>
      <c r="D164" s="2" t="s">
        <v>551</v>
      </c>
      <c r="E164" s="3" t="s">
        <v>24</v>
      </c>
      <c r="F164" s="2" t="s">
        <v>639</v>
      </c>
      <c r="G164" s="3" t="s">
        <v>24</v>
      </c>
      <c r="H164" s="2" t="s">
        <v>640</v>
      </c>
      <c r="I164" s="3" t="s">
        <v>14</v>
      </c>
      <c r="J164" s="2" t="s">
        <v>641</v>
      </c>
      <c r="K164" s="4" t="str">
        <f t="shared" si="2"/>
        <v>1Y / 3N</v>
      </c>
      <c r="L164" s="2" t="s">
        <v>38</v>
      </c>
      <c r="M164" s="2" t="s">
        <v>39</v>
      </c>
    </row>
    <row r="165" spans="1:13" ht="98.1" customHeight="1" x14ac:dyDescent="0.2">
      <c r="A165" s="2" t="s">
        <v>642</v>
      </c>
      <c r="B165" s="3" t="s">
        <v>24</v>
      </c>
      <c r="C165" s="3" t="s">
        <v>24</v>
      </c>
      <c r="D165" s="2" t="s">
        <v>643</v>
      </c>
      <c r="E165" s="3" t="s">
        <v>24</v>
      </c>
      <c r="F165" s="2" t="s">
        <v>644</v>
      </c>
      <c r="G165" s="3" t="s">
        <v>24</v>
      </c>
      <c r="H165" s="2" t="s">
        <v>523</v>
      </c>
      <c r="I165" s="3" t="s">
        <v>24</v>
      </c>
      <c r="J165" s="2" t="s">
        <v>645</v>
      </c>
      <c r="K165" s="4" t="str">
        <f t="shared" si="2"/>
        <v>0Y / 4N</v>
      </c>
      <c r="L165" s="2" t="s">
        <v>19</v>
      </c>
      <c r="M165" s="2"/>
    </row>
    <row r="166" spans="1:13" ht="98.1" customHeight="1" x14ac:dyDescent="0.2">
      <c r="A166" s="2" t="s">
        <v>646</v>
      </c>
      <c r="B166" s="3" t="s">
        <v>14</v>
      </c>
      <c r="C166" s="3" t="s">
        <v>14</v>
      </c>
      <c r="D166" s="2" t="s">
        <v>635</v>
      </c>
      <c r="E166" s="3" t="s">
        <v>14</v>
      </c>
      <c r="F166" s="2" t="s">
        <v>647</v>
      </c>
      <c r="G166" s="3" t="s">
        <v>14</v>
      </c>
      <c r="H166" s="2" t="s">
        <v>648</v>
      </c>
      <c r="I166" s="3" t="s">
        <v>14</v>
      </c>
      <c r="J166" s="2" t="s">
        <v>306</v>
      </c>
      <c r="K166" s="4" t="str">
        <f t="shared" si="2"/>
        <v>4Y / 0N</v>
      </c>
      <c r="L166" s="2" t="s">
        <v>19</v>
      </c>
      <c r="M166" s="2"/>
    </row>
    <row r="167" spans="1:13" ht="98.1" customHeight="1" x14ac:dyDescent="0.2">
      <c r="A167" s="2" t="s">
        <v>649</v>
      </c>
      <c r="B167" s="3" t="s">
        <v>24</v>
      </c>
      <c r="C167" s="3" t="s">
        <v>14</v>
      </c>
      <c r="D167" s="2" t="s">
        <v>650</v>
      </c>
      <c r="E167" s="3" t="s">
        <v>14</v>
      </c>
      <c r="F167" s="2" t="s">
        <v>651</v>
      </c>
      <c r="G167" s="3" t="s">
        <v>14</v>
      </c>
      <c r="H167" s="2" t="s">
        <v>450</v>
      </c>
      <c r="I167" s="3" t="s">
        <v>24</v>
      </c>
      <c r="J167" s="2" t="s">
        <v>652</v>
      </c>
      <c r="K167" s="4" t="str">
        <f t="shared" si="2"/>
        <v>3Y / 1N</v>
      </c>
      <c r="L167" s="2" t="s">
        <v>38</v>
      </c>
      <c r="M167" s="2" t="s">
        <v>202</v>
      </c>
    </row>
    <row r="168" spans="1:13" ht="98.1" customHeight="1" x14ac:dyDescent="0.2">
      <c r="A168" s="2" t="s">
        <v>653</v>
      </c>
      <c r="B168" s="3" t="s">
        <v>14</v>
      </c>
      <c r="C168" s="3" t="s">
        <v>14</v>
      </c>
      <c r="D168" s="2" t="s">
        <v>260</v>
      </c>
      <c r="E168" s="3" t="s">
        <v>14</v>
      </c>
      <c r="F168" s="2" t="s">
        <v>654</v>
      </c>
      <c r="G168" s="3" t="s">
        <v>14</v>
      </c>
      <c r="H168" s="2" t="s">
        <v>655</v>
      </c>
      <c r="I168" s="3" t="s">
        <v>14</v>
      </c>
      <c r="J168" s="2" t="s">
        <v>306</v>
      </c>
      <c r="K168" s="4" t="str">
        <f t="shared" si="2"/>
        <v>4Y / 0N</v>
      </c>
      <c r="L168" s="2" t="s">
        <v>19</v>
      </c>
      <c r="M168" s="2"/>
    </row>
    <row r="169" spans="1:13" ht="98.1" customHeight="1" x14ac:dyDescent="0.2">
      <c r="A169" s="2" t="s">
        <v>656</v>
      </c>
      <c r="B169" s="3" t="s">
        <v>14</v>
      </c>
      <c r="C169" s="3" t="s">
        <v>14</v>
      </c>
      <c r="D169" s="2" t="s">
        <v>136</v>
      </c>
      <c r="E169" s="3" t="s">
        <v>14</v>
      </c>
      <c r="F169" s="2" t="s">
        <v>657</v>
      </c>
      <c r="G169" s="3" t="s">
        <v>14</v>
      </c>
      <c r="H169" s="2" t="s">
        <v>658</v>
      </c>
      <c r="I169" s="3" t="s">
        <v>14</v>
      </c>
      <c r="J169" s="2" t="s">
        <v>306</v>
      </c>
      <c r="K169" s="4" t="str">
        <f t="shared" si="2"/>
        <v>4Y / 0N</v>
      </c>
      <c r="L169" s="2" t="s">
        <v>19</v>
      </c>
      <c r="M169" s="2"/>
    </row>
    <row r="170" spans="1:13" ht="98.1" customHeight="1" x14ac:dyDescent="0.2">
      <c r="A170" s="2" t="s">
        <v>659</v>
      </c>
      <c r="B170" s="3" t="s">
        <v>14</v>
      </c>
      <c r="C170" s="3" t="s">
        <v>14</v>
      </c>
      <c r="D170" s="2" t="s">
        <v>260</v>
      </c>
      <c r="E170" s="3" t="s">
        <v>14</v>
      </c>
      <c r="F170" s="2" t="s">
        <v>660</v>
      </c>
      <c r="G170" s="3" t="s">
        <v>14</v>
      </c>
      <c r="H170" s="2" t="s">
        <v>661</v>
      </c>
      <c r="I170" s="3" t="s">
        <v>14</v>
      </c>
      <c r="J170" s="2" t="s">
        <v>306</v>
      </c>
      <c r="K170" s="4" t="str">
        <f t="shared" si="2"/>
        <v>4Y / 0N</v>
      </c>
      <c r="L170" s="2" t="s">
        <v>19</v>
      </c>
      <c r="M170" s="2"/>
    </row>
    <row r="171" spans="1:13" ht="98.1" customHeight="1" x14ac:dyDescent="0.2">
      <c r="A171" s="2" t="s">
        <v>662</v>
      </c>
      <c r="B171" s="3" t="s">
        <v>24</v>
      </c>
      <c r="C171" s="3" t="s">
        <v>14</v>
      </c>
      <c r="D171" s="2" t="s">
        <v>521</v>
      </c>
      <c r="E171" s="3" t="s">
        <v>14</v>
      </c>
      <c r="F171" s="2" t="s">
        <v>644</v>
      </c>
      <c r="G171" s="3" t="s">
        <v>14</v>
      </c>
      <c r="H171" s="2" t="s">
        <v>663</v>
      </c>
      <c r="I171" s="3" t="s">
        <v>24</v>
      </c>
      <c r="J171" s="2" t="s">
        <v>664</v>
      </c>
      <c r="K171" s="4" t="str">
        <f t="shared" si="2"/>
        <v>3Y / 1N</v>
      </c>
      <c r="L171" s="2" t="s">
        <v>38</v>
      </c>
      <c r="M171" s="2" t="s">
        <v>665</v>
      </c>
    </row>
    <row r="172" spans="1:13" ht="98.1" customHeight="1" x14ac:dyDescent="0.2">
      <c r="A172" s="2" t="s">
        <v>666</v>
      </c>
      <c r="B172" s="3" t="s">
        <v>14</v>
      </c>
      <c r="C172" s="3" t="s">
        <v>14</v>
      </c>
      <c r="D172" s="2" t="s">
        <v>260</v>
      </c>
      <c r="E172" s="3" t="s">
        <v>14</v>
      </c>
      <c r="F172" s="2" t="s">
        <v>667</v>
      </c>
      <c r="G172" s="3" t="s">
        <v>14</v>
      </c>
      <c r="H172" s="2" t="s">
        <v>658</v>
      </c>
      <c r="I172" s="3" t="s">
        <v>14</v>
      </c>
      <c r="J172" s="2" t="s">
        <v>323</v>
      </c>
      <c r="K172" s="4" t="str">
        <f t="shared" si="2"/>
        <v>4Y / 0N</v>
      </c>
      <c r="L172" s="2" t="s">
        <v>19</v>
      </c>
      <c r="M172" s="2"/>
    </row>
    <row r="173" spans="1:13" ht="98.1" customHeight="1" x14ac:dyDescent="0.2">
      <c r="A173" s="2" t="s">
        <v>668</v>
      </c>
      <c r="B173" s="3" t="s">
        <v>14</v>
      </c>
      <c r="C173" s="3" t="s">
        <v>14</v>
      </c>
      <c r="D173" s="2" t="s">
        <v>260</v>
      </c>
      <c r="E173" s="3" t="s">
        <v>14</v>
      </c>
      <c r="F173" s="2" t="s">
        <v>669</v>
      </c>
      <c r="G173" s="3" t="s">
        <v>14</v>
      </c>
      <c r="H173" s="2" t="s">
        <v>670</v>
      </c>
      <c r="I173" s="3" t="s">
        <v>14</v>
      </c>
      <c r="J173" s="2" t="s">
        <v>306</v>
      </c>
      <c r="K173" s="4" t="str">
        <f t="shared" si="2"/>
        <v>4Y / 0N</v>
      </c>
      <c r="L173" s="2" t="s">
        <v>19</v>
      </c>
      <c r="M173" s="2"/>
    </row>
    <row r="174" spans="1:13" ht="98.1" customHeight="1" x14ac:dyDescent="0.2">
      <c r="A174" s="2" t="s">
        <v>671</v>
      </c>
      <c r="B174" s="3" t="s">
        <v>14</v>
      </c>
      <c r="C174" s="3" t="s">
        <v>14</v>
      </c>
      <c r="D174" s="2" t="s">
        <v>260</v>
      </c>
      <c r="E174" s="3" t="s">
        <v>14</v>
      </c>
      <c r="F174" s="2" t="s">
        <v>672</v>
      </c>
      <c r="G174" s="3" t="s">
        <v>14</v>
      </c>
      <c r="H174" s="2" t="s">
        <v>658</v>
      </c>
      <c r="I174" s="3" t="s">
        <v>14</v>
      </c>
      <c r="J174" s="2" t="s">
        <v>306</v>
      </c>
      <c r="K174" s="4" t="str">
        <f t="shared" si="2"/>
        <v>4Y / 0N</v>
      </c>
      <c r="L174" s="2" t="s">
        <v>19</v>
      </c>
      <c r="M174" s="2"/>
    </row>
    <row r="175" spans="1:13" ht="98.1" customHeight="1" x14ac:dyDescent="0.2">
      <c r="A175" s="2" t="s">
        <v>673</v>
      </c>
      <c r="B175" s="3" t="s">
        <v>24</v>
      </c>
      <c r="C175" s="3" t="s">
        <v>24</v>
      </c>
      <c r="D175" s="2" t="s">
        <v>674</v>
      </c>
      <c r="E175" s="3" t="s">
        <v>24</v>
      </c>
      <c r="F175" s="2" t="s">
        <v>675</v>
      </c>
      <c r="G175" s="3" t="s">
        <v>24</v>
      </c>
      <c r="H175" s="2" t="s">
        <v>676</v>
      </c>
      <c r="I175" s="3" t="s">
        <v>14</v>
      </c>
      <c r="J175" s="2" t="s">
        <v>677</v>
      </c>
      <c r="K175" s="4" t="str">
        <f t="shared" si="2"/>
        <v>1Y / 3N</v>
      </c>
      <c r="L175" s="2" t="s">
        <v>38</v>
      </c>
      <c r="M175" s="2" t="s">
        <v>678</v>
      </c>
    </row>
    <row r="176" spans="1:13" ht="98.1" customHeight="1" x14ac:dyDescent="0.2">
      <c r="A176" s="2" t="s">
        <v>679</v>
      </c>
      <c r="B176" s="3" t="s">
        <v>14</v>
      </c>
      <c r="C176" s="3" t="s">
        <v>14</v>
      </c>
      <c r="D176" s="2" t="s">
        <v>538</v>
      </c>
      <c r="E176" s="3" t="s">
        <v>14</v>
      </c>
      <c r="F176" s="2" t="s">
        <v>680</v>
      </c>
      <c r="G176" s="3" t="s">
        <v>14</v>
      </c>
      <c r="H176" s="2" t="s">
        <v>658</v>
      </c>
      <c r="I176" s="3" t="s">
        <v>14</v>
      </c>
      <c r="J176" s="2" t="s">
        <v>306</v>
      </c>
      <c r="K176" s="4" t="str">
        <f t="shared" si="2"/>
        <v>4Y / 0N</v>
      </c>
      <c r="L176" s="2" t="s">
        <v>19</v>
      </c>
      <c r="M176" s="2"/>
    </row>
    <row r="177" spans="1:13" ht="98.1" customHeight="1" x14ac:dyDescent="0.2">
      <c r="A177" s="2" t="s">
        <v>681</v>
      </c>
      <c r="B177" s="3" t="s">
        <v>14</v>
      </c>
      <c r="C177" s="3" t="s">
        <v>14</v>
      </c>
      <c r="D177" s="2" t="s">
        <v>424</v>
      </c>
      <c r="E177" s="3" t="s">
        <v>14</v>
      </c>
      <c r="F177" s="2" t="s">
        <v>682</v>
      </c>
      <c r="G177" s="3" t="s">
        <v>14</v>
      </c>
      <c r="H177" s="2" t="s">
        <v>683</v>
      </c>
      <c r="I177" s="3" t="s">
        <v>14</v>
      </c>
      <c r="J177" s="2" t="s">
        <v>600</v>
      </c>
      <c r="K177" s="4" t="str">
        <f t="shared" si="2"/>
        <v>4Y / 0N</v>
      </c>
      <c r="L177" s="2" t="s">
        <v>19</v>
      </c>
      <c r="M177" s="2"/>
    </row>
    <row r="178" spans="1:13" ht="98.1" customHeight="1" x14ac:dyDescent="0.2">
      <c r="A178" s="2" t="s">
        <v>684</v>
      </c>
      <c r="B178" s="3" t="s">
        <v>24</v>
      </c>
      <c r="C178" s="3" t="s">
        <v>24</v>
      </c>
      <c r="D178" s="2" t="s">
        <v>685</v>
      </c>
      <c r="E178" s="3" t="s">
        <v>24</v>
      </c>
      <c r="F178" s="2" t="s">
        <v>686</v>
      </c>
      <c r="G178" s="3" t="s">
        <v>24</v>
      </c>
      <c r="H178" s="2" t="s">
        <v>389</v>
      </c>
      <c r="I178" s="3" t="s">
        <v>24</v>
      </c>
      <c r="J178" s="2" t="s">
        <v>687</v>
      </c>
      <c r="K178" s="4" t="str">
        <f t="shared" si="2"/>
        <v>0Y / 4N</v>
      </c>
      <c r="L178" s="2" t="s">
        <v>19</v>
      </c>
      <c r="M178" s="2"/>
    </row>
    <row r="179" spans="1:13" ht="98.1" customHeight="1" x14ac:dyDescent="0.2">
      <c r="A179" s="2" t="s">
        <v>688</v>
      </c>
      <c r="B179" s="3" t="s">
        <v>14</v>
      </c>
      <c r="C179" s="3" t="s">
        <v>14</v>
      </c>
      <c r="D179" s="2" t="s">
        <v>424</v>
      </c>
      <c r="E179" s="3" t="s">
        <v>14</v>
      </c>
      <c r="F179" s="2" t="s">
        <v>689</v>
      </c>
      <c r="G179" s="3" t="s">
        <v>14</v>
      </c>
      <c r="H179" s="2" t="s">
        <v>690</v>
      </c>
      <c r="I179" s="3" t="s">
        <v>14</v>
      </c>
      <c r="J179" s="2" t="s">
        <v>691</v>
      </c>
      <c r="K179" s="4" t="str">
        <f t="shared" si="2"/>
        <v>4Y / 0N</v>
      </c>
      <c r="L179" s="2" t="s">
        <v>19</v>
      </c>
      <c r="M179" s="2"/>
    </row>
    <row r="180" spans="1:13" ht="98.1" customHeight="1" x14ac:dyDescent="0.2">
      <c r="A180" s="2" t="s">
        <v>692</v>
      </c>
      <c r="B180" s="3" t="s">
        <v>24</v>
      </c>
      <c r="C180" s="3" t="s">
        <v>14</v>
      </c>
      <c r="D180" s="2" t="s">
        <v>260</v>
      </c>
      <c r="E180" s="3" t="s">
        <v>24</v>
      </c>
      <c r="F180" s="2" t="s">
        <v>693</v>
      </c>
      <c r="G180" s="3" t="s">
        <v>14</v>
      </c>
      <c r="H180" s="2" t="s">
        <v>601</v>
      </c>
      <c r="I180" s="3" t="s">
        <v>14</v>
      </c>
      <c r="J180" s="2" t="s">
        <v>694</v>
      </c>
      <c r="K180" s="4" t="str">
        <f t="shared" si="2"/>
        <v>3Y / 1N</v>
      </c>
      <c r="L180" s="2" t="s">
        <v>38</v>
      </c>
      <c r="M180" s="2" t="s">
        <v>601</v>
      </c>
    </row>
    <row r="181" spans="1:13" ht="98.1" customHeight="1" x14ac:dyDescent="0.2">
      <c r="A181" s="2" t="s">
        <v>695</v>
      </c>
      <c r="B181" s="3" t="s">
        <v>14</v>
      </c>
      <c r="C181" s="3" t="s">
        <v>14</v>
      </c>
      <c r="D181" s="2" t="s">
        <v>260</v>
      </c>
      <c r="E181" s="3" t="s">
        <v>14</v>
      </c>
      <c r="F181" s="2" t="s">
        <v>696</v>
      </c>
      <c r="G181" s="3" t="s">
        <v>14</v>
      </c>
      <c r="H181" s="2" t="s">
        <v>697</v>
      </c>
      <c r="I181" s="3" t="s">
        <v>14</v>
      </c>
      <c r="J181" s="2" t="s">
        <v>306</v>
      </c>
      <c r="K181" s="4" t="str">
        <f t="shared" si="2"/>
        <v>4Y / 0N</v>
      </c>
      <c r="L181" s="2" t="s">
        <v>19</v>
      </c>
      <c r="M181" s="2"/>
    </row>
    <row r="182" spans="1:13" ht="98.1" customHeight="1" x14ac:dyDescent="0.2">
      <c r="A182" s="2" t="s">
        <v>698</v>
      </c>
      <c r="B182" s="3" t="s">
        <v>24</v>
      </c>
      <c r="C182" s="3" t="s">
        <v>14</v>
      </c>
      <c r="D182" s="2" t="s">
        <v>260</v>
      </c>
      <c r="E182" s="3" t="s">
        <v>14</v>
      </c>
      <c r="F182" s="2" t="s">
        <v>699</v>
      </c>
      <c r="G182" s="3" t="s">
        <v>14</v>
      </c>
      <c r="H182" s="2" t="s">
        <v>614</v>
      </c>
      <c r="I182" s="3" t="s">
        <v>24</v>
      </c>
      <c r="J182" s="2" t="s">
        <v>700</v>
      </c>
      <c r="K182" s="4" t="str">
        <f t="shared" si="2"/>
        <v>3Y / 1N</v>
      </c>
      <c r="L182" s="2" t="s">
        <v>38</v>
      </c>
      <c r="M182" s="2" t="s">
        <v>545</v>
      </c>
    </row>
    <row r="183" spans="1:13" ht="98.1" customHeight="1" x14ac:dyDescent="0.2">
      <c r="A183" s="2" t="s">
        <v>701</v>
      </c>
      <c r="B183" s="3" t="s">
        <v>24</v>
      </c>
      <c r="C183" s="3" t="s">
        <v>24</v>
      </c>
      <c r="D183" s="2" t="s">
        <v>702</v>
      </c>
      <c r="E183" s="3" t="s">
        <v>24</v>
      </c>
      <c r="F183" s="2" t="s">
        <v>703</v>
      </c>
      <c r="G183" s="3" t="s">
        <v>24</v>
      </c>
      <c r="H183" s="2" t="s">
        <v>126</v>
      </c>
      <c r="I183" s="3" t="s">
        <v>24</v>
      </c>
      <c r="J183" s="2" t="s">
        <v>704</v>
      </c>
      <c r="K183" s="4" t="str">
        <f t="shared" si="2"/>
        <v>0Y / 4N</v>
      </c>
      <c r="L183" s="2" t="s">
        <v>19</v>
      </c>
      <c r="M183" s="2"/>
    </row>
    <row r="184" spans="1:13" ht="98.1" customHeight="1" x14ac:dyDescent="0.2">
      <c r="A184" s="2" t="s">
        <v>705</v>
      </c>
      <c r="B184" s="3" t="s">
        <v>14</v>
      </c>
      <c r="C184" s="3" t="s">
        <v>14</v>
      </c>
      <c r="D184" s="2" t="s">
        <v>566</v>
      </c>
      <c r="E184" s="3" t="s">
        <v>14</v>
      </c>
      <c r="F184" s="2" t="s">
        <v>706</v>
      </c>
      <c r="G184" s="3" t="s">
        <v>14</v>
      </c>
      <c r="H184" s="2" t="s">
        <v>707</v>
      </c>
      <c r="I184" s="3" t="s">
        <v>14</v>
      </c>
      <c r="J184" s="2" t="s">
        <v>306</v>
      </c>
      <c r="K184" s="4" t="str">
        <f t="shared" si="2"/>
        <v>4Y / 0N</v>
      </c>
      <c r="L184" s="2" t="s">
        <v>19</v>
      </c>
      <c r="M184" s="2"/>
    </row>
    <row r="185" spans="1:13" ht="98.1" customHeight="1" x14ac:dyDescent="0.2">
      <c r="A185" s="2" t="s">
        <v>708</v>
      </c>
      <c r="B185" s="3" t="s">
        <v>24</v>
      </c>
      <c r="C185" s="3" t="s">
        <v>24</v>
      </c>
      <c r="D185" s="2" t="s">
        <v>709</v>
      </c>
      <c r="E185" s="3" t="s">
        <v>24</v>
      </c>
      <c r="F185" s="2" t="s">
        <v>710</v>
      </c>
      <c r="G185" s="3" t="s">
        <v>24</v>
      </c>
      <c r="H185" s="2" t="s">
        <v>126</v>
      </c>
      <c r="I185" s="3" t="s">
        <v>24</v>
      </c>
      <c r="J185" s="2" t="s">
        <v>711</v>
      </c>
      <c r="K185" s="4" t="str">
        <f t="shared" si="2"/>
        <v>0Y / 4N</v>
      </c>
      <c r="L185" s="2" t="s">
        <v>19</v>
      </c>
      <c r="M185" s="2"/>
    </row>
    <row r="186" spans="1:13" ht="98.1" customHeight="1" x14ac:dyDescent="0.2">
      <c r="A186" s="2" t="s">
        <v>712</v>
      </c>
      <c r="B186" s="3" t="s">
        <v>14</v>
      </c>
      <c r="C186" s="3" t="s">
        <v>14</v>
      </c>
      <c r="D186" s="2" t="s">
        <v>260</v>
      </c>
      <c r="E186" s="3" t="s">
        <v>14</v>
      </c>
      <c r="F186" s="2" t="s">
        <v>713</v>
      </c>
      <c r="G186" s="3" t="s">
        <v>14</v>
      </c>
      <c r="H186" s="2" t="s">
        <v>284</v>
      </c>
      <c r="I186" s="3" t="s">
        <v>14</v>
      </c>
      <c r="J186" s="2" t="s">
        <v>306</v>
      </c>
      <c r="K186" s="4" t="str">
        <f t="shared" si="2"/>
        <v>4Y / 0N</v>
      </c>
      <c r="L186" s="2" t="s">
        <v>19</v>
      </c>
      <c r="M186" s="2"/>
    </row>
    <row r="187" spans="1:13" ht="98.1" customHeight="1" x14ac:dyDescent="0.2">
      <c r="A187" s="2" t="s">
        <v>714</v>
      </c>
      <c r="B187" s="3" t="s">
        <v>14</v>
      </c>
      <c r="C187" s="3" t="s">
        <v>14</v>
      </c>
      <c r="D187" s="2" t="s">
        <v>59</v>
      </c>
      <c r="E187" s="3" t="s">
        <v>14</v>
      </c>
      <c r="F187" s="2" t="s">
        <v>715</v>
      </c>
      <c r="G187" s="3" t="s">
        <v>14</v>
      </c>
      <c r="H187" s="2" t="s">
        <v>716</v>
      </c>
      <c r="I187" s="3" t="s">
        <v>14</v>
      </c>
      <c r="J187" s="2" t="s">
        <v>323</v>
      </c>
      <c r="K187" s="4" t="str">
        <f t="shared" si="2"/>
        <v>4Y / 0N</v>
      </c>
      <c r="L187" s="2" t="s">
        <v>19</v>
      </c>
      <c r="M187" s="2"/>
    </row>
    <row r="188" spans="1:13" ht="98.1" customHeight="1" x14ac:dyDescent="0.2">
      <c r="A188" s="2" t="s">
        <v>717</v>
      </c>
      <c r="B188" s="3" t="s">
        <v>14</v>
      </c>
      <c r="C188" s="3" t="s">
        <v>14</v>
      </c>
      <c r="D188" s="2" t="s">
        <v>718</v>
      </c>
      <c r="E188" s="3" t="s">
        <v>14</v>
      </c>
      <c r="F188" s="2" t="s">
        <v>713</v>
      </c>
      <c r="G188" s="3" t="s">
        <v>14</v>
      </c>
      <c r="H188" s="2" t="s">
        <v>719</v>
      </c>
      <c r="I188" s="3" t="s">
        <v>14</v>
      </c>
      <c r="J188" s="2" t="s">
        <v>720</v>
      </c>
      <c r="K188" s="4" t="str">
        <f t="shared" si="2"/>
        <v>4Y / 0N</v>
      </c>
      <c r="L188" s="2" t="s">
        <v>19</v>
      </c>
      <c r="M188" s="2"/>
    </row>
    <row r="189" spans="1:13" ht="98.1" customHeight="1" x14ac:dyDescent="0.2">
      <c r="A189" s="2" t="s">
        <v>721</v>
      </c>
      <c r="B189" s="3" t="s">
        <v>24</v>
      </c>
      <c r="C189" s="3" t="s">
        <v>24</v>
      </c>
      <c r="D189" s="2" t="s">
        <v>388</v>
      </c>
      <c r="E189" s="3" t="s">
        <v>24</v>
      </c>
      <c r="F189" s="2" t="s">
        <v>722</v>
      </c>
      <c r="G189" s="3" t="s">
        <v>24</v>
      </c>
      <c r="H189" s="2" t="s">
        <v>126</v>
      </c>
      <c r="I189" s="3" t="s">
        <v>24</v>
      </c>
      <c r="J189" s="2" t="s">
        <v>723</v>
      </c>
      <c r="K189" s="4" t="str">
        <f t="shared" si="2"/>
        <v>0Y / 4N</v>
      </c>
      <c r="L189" s="2" t="s">
        <v>19</v>
      </c>
      <c r="M189" s="2"/>
    </row>
    <row r="190" spans="1:13" ht="98.1" customHeight="1" x14ac:dyDescent="0.2">
      <c r="A190" s="2" t="s">
        <v>724</v>
      </c>
      <c r="B190" s="3" t="s">
        <v>14</v>
      </c>
      <c r="C190" s="3" t="s">
        <v>14</v>
      </c>
      <c r="D190" s="2" t="s">
        <v>725</v>
      </c>
      <c r="E190" s="3" t="s">
        <v>14</v>
      </c>
      <c r="F190" s="2" t="s">
        <v>726</v>
      </c>
      <c r="G190" s="3" t="s">
        <v>14</v>
      </c>
      <c r="H190" s="2" t="s">
        <v>727</v>
      </c>
      <c r="I190" s="3" t="s">
        <v>14</v>
      </c>
      <c r="J190" s="2" t="s">
        <v>728</v>
      </c>
      <c r="K190" s="4" t="str">
        <f t="shared" si="2"/>
        <v>4Y / 0N</v>
      </c>
      <c r="L190" s="2" t="s">
        <v>19</v>
      </c>
      <c r="M190" s="2"/>
    </row>
    <row r="191" spans="1:13" ht="98.1" customHeight="1" x14ac:dyDescent="0.2">
      <c r="A191" s="2" t="s">
        <v>729</v>
      </c>
      <c r="B191" s="3" t="s">
        <v>14</v>
      </c>
      <c r="C191" s="3" t="s">
        <v>14</v>
      </c>
      <c r="D191" s="2" t="s">
        <v>730</v>
      </c>
      <c r="E191" s="3" t="s">
        <v>14</v>
      </c>
      <c r="F191" s="2" t="s">
        <v>339</v>
      </c>
      <c r="G191" s="3" t="s">
        <v>14</v>
      </c>
      <c r="H191" s="2" t="s">
        <v>731</v>
      </c>
      <c r="I191" s="3" t="s">
        <v>14</v>
      </c>
      <c r="J191" s="2" t="s">
        <v>306</v>
      </c>
      <c r="K191" s="4" t="str">
        <f t="shared" si="2"/>
        <v>4Y / 0N</v>
      </c>
      <c r="L191" s="2" t="s">
        <v>19</v>
      </c>
      <c r="M191" s="2"/>
    </row>
    <row r="192" spans="1:13" ht="98.1" customHeight="1" x14ac:dyDescent="0.2">
      <c r="A192" s="2" t="s">
        <v>732</v>
      </c>
      <c r="B192" s="3" t="s">
        <v>24</v>
      </c>
      <c r="C192" s="3" t="s">
        <v>24</v>
      </c>
      <c r="D192" s="2" t="s">
        <v>733</v>
      </c>
      <c r="E192" s="3" t="s">
        <v>24</v>
      </c>
      <c r="F192" s="2" t="s">
        <v>734</v>
      </c>
      <c r="G192" s="3" t="s">
        <v>24</v>
      </c>
      <c r="H192" s="2" t="s">
        <v>126</v>
      </c>
      <c r="I192" s="3" t="s">
        <v>24</v>
      </c>
      <c r="J192" s="2" t="s">
        <v>735</v>
      </c>
      <c r="K192" s="4" t="str">
        <f t="shared" si="2"/>
        <v>0Y / 4N</v>
      </c>
      <c r="L192" s="2" t="s">
        <v>19</v>
      </c>
      <c r="M192" s="2"/>
    </row>
    <row r="193" spans="1:13" ht="98.1" customHeight="1" x14ac:dyDescent="0.2">
      <c r="A193" s="2" t="s">
        <v>736</v>
      </c>
      <c r="B193" s="3" t="s">
        <v>24</v>
      </c>
      <c r="C193" s="3" t="s">
        <v>24</v>
      </c>
      <c r="D193" s="2" t="s">
        <v>589</v>
      </c>
      <c r="E193" s="3" t="s">
        <v>24</v>
      </c>
      <c r="F193" s="2" t="s">
        <v>737</v>
      </c>
      <c r="G193" s="3" t="s">
        <v>24</v>
      </c>
      <c r="H193" s="2" t="s">
        <v>738</v>
      </c>
      <c r="I193" s="3" t="s">
        <v>24</v>
      </c>
      <c r="J193" s="2" t="s">
        <v>739</v>
      </c>
      <c r="K193" s="4" t="str">
        <f t="shared" si="2"/>
        <v>0Y / 4N</v>
      </c>
      <c r="L193" s="2" t="s">
        <v>19</v>
      </c>
      <c r="M193" s="2"/>
    </row>
    <row r="194" spans="1:13" ht="98.1" customHeight="1" x14ac:dyDescent="0.2">
      <c r="A194" s="2" t="s">
        <v>740</v>
      </c>
      <c r="B194" s="3" t="s">
        <v>14</v>
      </c>
      <c r="C194" s="3" t="s">
        <v>14</v>
      </c>
      <c r="D194" s="2" t="s">
        <v>260</v>
      </c>
      <c r="E194" s="3" t="s">
        <v>14</v>
      </c>
      <c r="F194" s="2" t="s">
        <v>741</v>
      </c>
      <c r="G194" s="3" t="s">
        <v>14</v>
      </c>
      <c r="H194" s="2" t="s">
        <v>658</v>
      </c>
      <c r="I194" s="3" t="s">
        <v>14</v>
      </c>
      <c r="J194" s="2" t="s">
        <v>306</v>
      </c>
      <c r="K194" s="4" t="str">
        <f t="shared" ref="K194:K257" si="3">(COUNTIF(C194,"Y")+COUNTIF(E194,"Y")+COUNTIF(G194,"Y")+COUNTIF(I194,"Y"))&amp;"Y / "&amp;(COUNTIF(C194,"N")+COUNTIF(E194,"N")+COUNTIF(G194,"N")+COUNTIF(I194,"N"))&amp;"N"&amp;IF(4-(COUNTIF(C194,"Y")+COUNTIF(E194,"Y")+COUNTIF(G194,"Y")+COUNTIF(I194,"Y"))-(COUNTIF(C194,"N")+COUNTIF(E194,"N")+COUNTIF(G194,"N")+COUNTIF(I194,"N"))&gt;0," / "&amp;(4-(COUNTIF(C194,"Y")+COUNTIF(E194,"Y")+COUNTIF(G194,"Y")+COUNTIF(I194,"Y"))-(COUNTIF(C194,"N")+COUNTIF(E194,"N")+COUNTIF(G194,"N")+COUNTIF(I194,"N")))&amp;" ambiguous","")</f>
        <v>4Y / 0N</v>
      </c>
      <c r="L194" s="2" t="s">
        <v>19</v>
      </c>
      <c r="M194" s="2"/>
    </row>
    <row r="195" spans="1:13" ht="98.1" customHeight="1" x14ac:dyDescent="0.2">
      <c r="A195" s="2" t="s">
        <v>742</v>
      </c>
      <c r="B195" s="3" t="s">
        <v>14</v>
      </c>
      <c r="C195" s="3" t="s">
        <v>14</v>
      </c>
      <c r="D195" s="2" t="s">
        <v>260</v>
      </c>
      <c r="E195" s="3" t="s">
        <v>14</v>
      </c>
      <c r="F195" s="2" t="s">
        <v>741</v>
      </c>
      <c r="G195" s="3" t="s">
        <v>14</v>
      </c>
      <c r="H195" s="2" t="s">
        <v>743</v>
      </c>
      <c r="I195" s="3" t="s">
        <v>14</v>
      </c>
      <c r="J195" s="2" t="s">
        <v>306</v>
      </c>
      <c r="K195" s="4" t="str">
        <f t="shared" si="3"/>
        <v>4Y / 0N</v>
      </c>
      <c r="L195" s="2" t="s">
        <v>19</v>
      </c>
      <c r="M195" s="2"/>
    </row>
    <row r="196" spans="1:13" ht="98.1" customHeight="1" x14ac:dyDescent="0.2">
      <c r="A196" s="2" t="s">
        <v>744</v>
      </c>
      <c r="B196" s="3" t="s">
        <v>14</v>
      </c>
      <c r="C196" s="3" t="s">
        <v>14</v>
      </c>
      <c r="D196" s="2" t="s">
        <v>745</v>
      </c>
      <c r="E196" s="3" t="s">
        <v>14</v>
      </c>
      <c r="F196" s="2" t="s">
        <v>741</v>
      </c>
      <c r="G196" s="3" t="s">
        <v>14</v>
      </c>
      <c r="H196" s="2" t="s">
        <v>746</v>
      </c>
      <c r="I196" s="3" t="s">
        <v>14</v>
      </c>
      <c r="J196" s="2" t="s">
        <v>600</v>
      </c>
      <c r="K196" s="4" t="str">
        <f t="shared" si="3"/>
        <v>4Y / 0N</v>
      </c>
      <c r="L196" s="2" t="s">
        <v>19</v>
      </c>
      <c r="M196" s="2"/>
    </row>
    <row r="197" spans="1:13" ht="98.1" customHeight="1" x14ac:dyDescent="0.2">
      <c r="A197" s="2" t="s">
        <v>747</v>
      </c>
      <c r="B197" s="3" t="s">
        <v>24</v>
      </c>
      <c r="C197" s="3" t="s">
        <v>24</v>
      </c>
      <c r="D197" s="2" t="s">
        <v>748</v>
      </c>
      <c r="E197" s="3" t="s">
        <v>24</v>
      </c>
      <c r="F197" s="2" t="s">
        <v>749</v>
      </c>
      <c r="G197" s="3" t="s">
        <v>24</v>
      </c>
      <c r="H197" s="2" t="s">
        <v>750</v>
      </c>
      <c r="I197" s="3" t="s">
        <v>14</v>
      </c>
      <c r="J197" s="2" t="s">
        <v>751</v>
      </c>
      <c r="K197" s="4" t="str">
        <f t="shared" si="3"/>
        <v>1Y / 3N</v>
      </c>
      <c r="L197" s="2" t="s">
        <v>26</v>
      </c>
      <c r="M197" s="2" t="s">
        <v>120</v>
      </c>
    </row>
    <row r="198" spans="1:13" ht="98.1" customHeight="1" x14ac:dyDescent="0.2">
      <c r="A198" s="2" t="s">
        <v>752</v>
      </c>
      <c r="B198" s="3" t="s">
        <v>14</v>
      </c>
      <c r="C198" s="3" t="s">
        <v>14</v>
      </c>
      <c r="D198" s="2" t="s">
        <v>753</v>
      </c>
      <c r="E198" s="3" t="s">
        <v>14</v>
      </c>
      <c r="F198" s="2" t="s">
        <v>754</v>
      </c>
      <c r="G198" s="3" t="s">
        <v>14</v>
      </c>
      <c r="H198" s="2" t="s">
        <v>755</v>
      </c>
      <c r="I198" s="3" t="s">
        <v>14</v>
      </c>
      <c r="J198" s="2" t="s">
        <v>306</v>
      </c>
      <c r="K198" s="4" t="str">
        <f t="shared" si="3"/>
        <v>4Y / 0N</v>
      </c>
      <c r="L198" s="2" t="s">
        <v>19</v>
      </c>
      <c r="M198" s="2"/>
    </row>
    <row r="199" spans="1:13" ht="98.1" customHeight="1" x14ac:dyDescent="0.2">
      <c r="A199" s="2" t="s">
        <v>756</v>
      </c>
      <c r="B199" s="3" t="s">
        <v>24</v>
      </c>
      <c r="C199" s="3" t="s">
        <v>24</v>
      </c>
      <c r="D199" s="2" t="s">
        <v>757</v>
      </c>
      <c r="E199" s="3" t="s">
        <v>24</v>
      </c>
      <c r="F199" s="2" t="s">
        <v>758</v>
      </c>
      <c r="G199" s="3" t="s">
        <v>24</v>
      </c>
      <c r="H199" s="2" t="s">
        <v>759</v>
      </c>
      <c r="I199" s="3" t="s">
        <v>24</v>
      </c>
      <c r="J199" s="2" t="s">
        <v>760</v>
      </c>
      <c r="K199" s="4" t="str">
        <f t="shared" si="3"/>
        <v>0Y / 4N</v>
      </c>
      <c r="L199" s="2" t="s">
        <v>19</v>
      </c>
      <c r="M199" s="2"/>
    </row>
    <row r="200" spans="1:13" ht="98.1" customHeight="1" x14ac:dyDescent="0.2">
      <c r="A200" s="2" t="s">
        <v>761</v>
      </c>
      <c r="B200" s="3" t="s">
        <v>14</v>
      </c>
      <c r="C200" s="3" t="s">
        <v>14</v>
      </c>
      <c r="D200" s="2" t="s">
        <v>762</v>
      </c>
      <c r="E200" s="3" t="s">
        <v>14</v>
      </c>
      <c r="F200" s="2" t="s">
        <v>754</v>
      </c>
      <c r="G200" s="3" t="s">
        <v>14</v>
      </c>
      <c r="H200" s="2" t="s">
        <v>763</v>
      </c>
      <c r="I200" s="3" t="s">
        <v>14</v>
      </c>
      <c r="J200" s="2" t="s">
        <v>306</v>
      </c>
      <c r="K200" s="4" t="str">
        <f t="shared" si="3"/>
        <v>4Y / 0N</v>
      </c>
      <c r="L200" s="2" t="s">
        <v>19</v>
      </c>
      <c r="M200" s="2"/>
    </row>
    <row r="201" spans="1:13" ht="98.1" customHeight="1" x14ac:dyDescent="0.2">
      <c r="A201" s="2" t="s">
        <v>764</v>
      </c>
      <c r="B201" s="3" t="s">
        <v>14</v>
      </c>
      <c r="C201" s="3" t="s">
        <v>14</v>
      </c>
      <c r="D201" s="2" t="s">
        <v>260</v>
      </c>
      <c r="E201" s="3" t="s">
        <v>14</v>
      </c>
      <c r="F201" s="2" t="s">
        <v>754</v>
      </c>
      <c r="G201" s="3" t="s">
        <v>14</v>
      </c>
      <c r="H201" s="2" t="s">
        <v>765</v>
      </c>
      <c r="I201" s="3" t="s">
        <v>14</v>
      </c>
      <c r="J201" s="2" t="s">
        <v>306</v>
      </c>
      <c r="K201" s="4" t="str">
        <f t="shared" si="3"/>
        <v>4Y / 0N</v>
      </c>
      <c r="L201" s="2" t="s">
        <v>19</v>
      </c>
      <c r="M201" s="2"/>
    </row>
    <row r="202" spans="1:13" ht="98.1" customHeight="1" x14ac:dyDescent="0.2">
      <c r="A202" s="2" t="s">
        <v>766</v>
      </c>
      <c r="B202" s="3" t="s">
        <v>14</v>
      </c>
      <c r="C202" s="3" t="s">
        <v>24</v>
      </c>
      <c r="D202" s="2" t="s">
        <v>767</v>
      </c>
      <c r="E202" s="3" t="s">
        <v>24</v>
      </c>
      <c r="F202" s="2" t="s">
        <v>768</v>
      </c>
      <c r="G202" s="3" t="s">
        <v>14</v>
      </c>
      <c r="H202" s="2" t="s">
        <v>99</v>
      </c>
      <c r="I202" s="3" t="s">
        <v>14</v>
      </c>
      <c r="J202" s="2" t="s">
        <v>769</v>
      </c>
      <c r="K202" s="4" t="str">
        <f t="shared" si="3"/>
        <v>2Y / 2N</v>
      </c>
      <c r="L202" s="2" t="s">
        <v>38</v>
      </c>
      <c r="M202" s="2" t="s">
        <v>110</v>
      </c>
    </row>
    <row r="203" spans="1:13" ht="98.1" customHeight="1" x14ac:dyDescent="0.2">
      <c r="A203" s="2" t="s">
        <v>770</v>
      </c>
      <c r="B203" s="3" t="s">
        <v>24</v>
      </c>
      <c r="C203" s="3" t="s">
        <v>24</v>
      </c>
      <c r="D203" s="2" t="s">
        <v>609</v>
      </c>
      <c r="E203" s="3" t="s">
        <v>24</v>
      </c>
      <c r="F203" s="2" t="s">
        <v>771</v>
      </c>
      <c r="G203" s="3" t="s">
        <v>14</v>
      </c>
      <c r="H203" s="2" t="s">
        <v>772</v>
      </c>
      <c r="I203" s="3" t="s">
        <v>24</v>
      </c>
      <c r="J203" s="2" t="s">
        <v>773</v>
      </c>
      <c r="K203" s="4" t="str">
        <f t="shared" si="3"/>
        <v>1Y / 3N</v>
      </c>
      <c r="L203" s="2" t="s">
        <v>38</v>
      </c>
      <c r="M203" s="2" t="s">
        <v>217</v>
      </c>
    </row>
    <row r="204" spans="1:13" ht="98.1" customHeight="1" x14ac:dyDescent="0.2">
      <c r="A204" s="2" t="s">
        <v>774</v>
      </c>
      <c r="B204" s="3" t="s">
        <v>24</v>
      </c>
      <c r="C204" s="3" t="s">
        <v>24</v>
      </c>
      <c r="D204" s="2" t="s">
        <v>775</v>
      </c>
      <c r="E204" s="3" t="s">
        <v>24</v>
      </c>
      <c r="F204" s="2" t="s">
        <v>776</v>
      </c>
      <c r="G204" s="3" t="s">
        <v>24</v>
      </c>
      <c r="H204" s="2" t="s">
        <v>777</v>
      </c>
      <c r="I204" s="3" t="s">
        <v>24</v>
      </c>
      <c r="J204" s="2" t="s">
        <v>778</v>
      </c>
      <c r="K204" s="4" t="str">
        <f t="shared" si="3"/>
        <v>0Y / 4N</v>
      </c>
      <c r="L204" s="2" t="s">
        <v>19</v>
      </c>
      <c r="M204" s="2"/>
    </row>
    <row r="205" spans="1:13" ht="98.1" customHeight="1" x14ac:dyDescent="0.2">
      <c r="A205" s="2" t="s">
        <v>779</v>
      </c>
      <c r="B205" s="3" t="s">
        <v>24</v>
      </c>
      <c r="C205" s="3" t="s">
        <v>24</v>
      </c>
      <c r="D205" s="2" t="s">
        <v>780</v>
      </c>
      <c r="E205" s="3" t="s">
        <v>24</v>
      </c>
      <c r="F205" s="2" t="s">
        <v>781</v>
      </c>
      <c r="G205" s="3" t="s">
        <v>24</v>
      </c>
      <c r="H205" s="2" t="s">
        <v>85</v>
      </c>
      <c r="I205" s="3" t="s">
        <v>24</v>
      </c>
      <c r="J205" s="2" t="s">
        <v>782</v>
      </c>
      <c r="K205" s="4" t="str">
        <f t="shared" si="3"/>
        <v>0Y / 4N</v>
      </c>
      <c r="L205" s="2" t="s">
        <v>19</v>
      </c>
      <c r="M205" s="2"/>
    </row>
    <row r="206" spans="1:13" ht="98.1" customHeight="1" x14ac:dyDescent="0.2">
      <c r="A206" s="2" t="s">
        <v>783</v>
      </c>
      <c r="B206" s="3" t="s">
        <v>14</v>
      </c>
      <c r="C206" s="3" t="s">
        <v>14</v>
      </c>
      <c r="D206" s="2" t="s">
        <v>784</v>
      </c>
      <c r="E206" s="3" t="s">
        <v>14</v>
      </c>
      <c r="F206" s="2" t="s">
        <v>754</v>
      </c>
      <c r="G206" s="3" t="s">
        <v>14</v>
      </c>
      <c r="H206" s="2" t="s">
        <v>785</v>
      </c>
      <c r="I206" s="3" t="s">
        <v>14</v>
      </c>
      <c r="J206" s="2" t="s">
        <v>306</v>
      </c>
      <c r="K206" s="4" t="str">
        <f t="shared" si="3"/>
        <v>4Y / 0N</v>
      </c>
      <c r="L206" s="2" t="s">
        <v>19</v>
      </c>
      <c r="M206" s="2"/>
    </row>
    <row r="207" spans="1:13" ht="98.1" customHeight="1" x14ac:dyDescent="0.2">
      <c r="A207" s="2" t="s">
        <v>786</v>
      </c>
      <c r="B207" s="3" t="s">
        <v>14</v>
      </c>
      <c r="C207" s="3" t="s">
        <v>14</v>
      </c>
      <c r="D207" s="2" t="s">
        <v>787</v>
      </c>
      <c r="E207" s="3" t="s">
        <v>14</v>
      </c>
      <c r="F207" s="2" t="s">
        <v>754</v>
      </c>
      <c r="G207" s="3" t="s">
        <v>14</v>
      </c>
      <c r="H207" s="2" t="s">
        <v>788</v>
      </c>
      <c r="I207" s="3" t="s">
        <v>14</v>
      </c>
      <c r="J207" s="2" t="s">
        <v>306</v>
      </c>
      <c r="K207" s="4" t="str">
        <f t="shared" si="3"/>
        <v>4Y / 0N</v>
      </c>
      <c r="L207" s="2" t="s">
        <v>19</v>
      </c>
      <c r="M207" s="2"/>
    </row>
    <row r="208" spans="1:13" ht="98.1" customHeight="1" x14ac:dyDescent="0.2">
      <c r="A208" s="2" t="s">
        <v>789</v>
      </c>
      <c r="B208" s="3" t="s">
        <v>14</v>
      </c>
      <c r="C208" s="3" t="s">
        <v>14</v>
      </c>
      <c r="D208" s="2" t="s">
        <v>424</v>
      </c>
      <c r="E208" s="3" t="s">
        <v>14</v>
      </c>
      <c r="F208" s="2" t="s">
        <v>754</v>
      </c>
      <c r="G208" s="3" t="s">
        <v>14</v>
      </c>
      <c r="H208" s="2" t="s">
        <v>790</v>
      </c>
      <c r="I208" s="3" t="s">
        <v>14</v>
      </c>
      <c r="J208" s="2" t="s">
        <v>728</v>
      </c>
      <c r="K208" s="4" t="str">
        <f t="shared" si="3"/>
        <v>4Y / 0N</v>
      </c>
      <c r="L208" s="2" t="s">
        <v>19</v>
      </c>
      <c r="M208" s="2"/>
    </row>
    <row r="209" spans="1:13" ht="98.1" customHeight="1" x14ac:dyDescent="0.2">
      <c r="A209" s="2" t="s">
        <v>791</v>
      </c>
      <c r="B209" s="3" t="s">
        <v>14</v>
      </c>
      <c r="C209" s="3" t="s">
        <v>14</v>
      </c>
      <c r="D209" s="2" t="s">
        <v>59</v>
      </c>
      <c r="E209" s="3" t="s">
        <v>14</v>
      </c>
      <c r="F209" s="2" t="s">
        <v>57</v>
      </c>
      <c r="G209" s="3" t="s">
        <v>14</v>
      </c>
      <c r="H209" s="2" t="s">
        <v>792</v>
      </c>
      <c r="I209" s="3" t="s">
        <v>14</v>
      </c>
      <c r="J209" s="2" t="s">
        <v>306</v>
      </c>
      <c r="K209" s="4" t="str">
        <f t="shared" si="3"/>
        <v>4Y / 0N</v>
      </c>
      <c r="L209" s="2" t="s">
        <v>19</v>
      </c>
      <c r="M209" s="2"/>
    </row>
    <row r="210" spans="1:13" ht="98.1" customHeight="1" x14ac:dyDescent="0.2">
      <c r="A210" s="2" t="s">
        <v>793</v>
      </c>
      <c r="B210" s="3" t="s">
        <v>14</v>
      </c>
      <c r="C210" s="3" t="s">
        <v>14</v>
      </c>
      <c r="D210" s="2" t="s">
        <v>260</v>
      </c>
      <c r="E210" s="3" t="s">
        <v>14</v>
      </c>
      <c r="F210" s="2" t="s">
        <v>754</v>
      </c>
      <c r="G210" s="3" t="s">
        <v>14</v>
      </c>
      <c r="H210" s="2" t="s">
        <v>794</v>
      </c>
      <c r="I210" s="3" t="s">
        <v>14</v>
      </c>
      <c r="J210" s="2" t="s">
        <v>306</v>
      </c>
      <c r="K210" s="4" t="str">
        <f t="shared" si="3"/>
        <v>4Y / 0N</v>
      </c>
      <c r="L210" s="2" t="s">
        <v>19</v>
      </c>
      <c r="M210" s="2"/>
    </row>
    <row r="211" spans="1:13" ht="98.1" customHeight="1" x14ac:dyDescent="0.2">
      <c r="A211" s="2" t="s">
        <v>795</v>
      </c>
      <c r="B211" s="3" t="s">
        <v>14</v>
      </c>
      <c r="C211" s="3" t="s">
        <v>14</v>
      </c>
      <c r="D211" s="2" t="s">
        <v>745</v>
      </c>
      <c r="E211" s="3" t="s">
        <v>14</v>
      </c>
      <c r="F211" s="2" t="s">
        <v>754</v>
      </c>
      <c r="G211" s="3" t="s">
        <v>14</v>
      </c>
      <c r="H211" s="2" t="s">
        <v>796</v>
      </c>
      <c r="I211" s="3" t="s">
        <v>14</v>
      </c>
      <c r="J211" s="2" t="s">
        <v>323</v>
      </c>
      <c r="K211" s="4" t="str">
        <f t="shared" si="3"/>
        <v>4Y / 0N</v>
      </c>
      <c r="L211" s="2" t="s">
        <v>19</v>
      </c>
      <c r="M211" s="2"/>
    </row>
    <row r="212" spans="1:13" ht="98.1" customHeight="1" x14ac:dyDescent="0.2">
      <c r="A212" s="2" t="s">
        <v>797</v>
      </c>
      <c r="B212" s="3" t="s">
        <v>14</v>
      </c>
      <c r="C212" s="3" t="s">
        <v>14</v>
      </c>
      <c r="D212" s="2" t="s">
        <v>798</v>
      </c>
      <c r="E212" s="3" t="s">
        <v>14</v>
      </c>
      <c r="F212" s="2" t="s">
        <v>754</v>
      </c>
      <c r="G212" s="3" t="s">
        <v>14</v>
      </c>
      <c r="H212" s="2" t="s">
        <v>799</v>
      </c>
      <c r="I212" s="3" t="s">
        <v>24</v>
      </c>
      <c r="J212" s="2" t="s">
        <v>800</v>
      </c>
      <c r="K212" s="4" t="str">
        <f t="shared" si="3"/>
        <v>3Y / 1N</v>
      </c>
      <c r="L212" s="2" t="s">
        <v>38</v>
      </c>
      <c r="M212" s="2" t="s">
        <v>466</v>
      </c>
    </row>
    <row r="213" spans="1:13" ht="98.1" customHeight="1" x14ac:dyDescent="0.2">
      <c r="A213" s="2" t="s">
        <v>801</v>
      </c>
      <c r="B213" s="3" t="s">
        <v>14</v>
      </c>
      <c r="C213" s="3" t="s">
        <v>14</v>
      </c>
      <c r="D213" s="2" t="s">
        <v>802</v>
      </c>
      <c r="E213" s="3" t="s">
        <v>14</v>
      </c>
      <c r="F213" s="2" t="s">
        <v>754</v>
      </c>
      <c r="G213" s="3" t="s">
        <v>14</v>
      </c>
      <c r="H213" s="2" t="s">
        <v>799</v>
      </c>
      <c r="I213" s="3" t="s">
        <v>14</v>
      </c>
      <c r="J213" s="2" t="s">
        <v>306</v>
      </c>
      <c r="K213" s="4" t="str">
        <f t="shared" si="3"/>
        <v>4Y / 0N</v>
      </c>
      <c r="L213" s="2" t="s">
        <v>19</v>
      </c>
      <c r="M213" s="2"/>
    </row>
    <row r="214" spans="1:13" ht="98.1" customHeight="1" x14ac:dyDescent="0.2">
      <c r="A214" s="2" t="s">
        <v>803</v>
      </c>
      <c r="B214" s="3" t="s">
        <v>14</v>
      </c>
      <c r="C214" s="3" t="s">
        <v>14</v>
      </c>
      <c r="D214" s="2" t="s">
        <v>260</v>
      </c>
      <c r="E214" s="3" t="s">
        <v>14</v>
      </c>
      <c r="F214" s="2" t="s">
        <v>754</v>
      </c>
      <c r="G214" s="3" t="s">
        <v>14</v>
      </c>
      <c r="H214" s="2" t="s">
        <v>804</v>
      </c>
      <c r="I214" s="3" t="s">
        <v>14</v>
      </c>
      <c r="J214" s="2" t="s">
        <v>306</v>
      </c>
      <c r="K214" s="4" t="str">
        <f t="shared" si="3"/>
        <v>4Y / 0N</v>
      </c>
      <c r="L214" s="2" t="s">
        <v>19</v>
      </c>
      <c r="M214" s="2"/>
    </row>
    <row r="215" spans="1:13" ht="98.1" customHeight="1" x14ac:dyDescent="0.2">
      <c r="A215" s="2" t="s">
        <v>805</v>
      </c>
      <c r="B215" s="3" t="s">
        <v>14</v>
      </c>
      <c r="C215" s="3" t="s">
        <v>14</v>
      </c>
      <c r="D215" s="2" t="s">
        <v>424</v>
      </c>
      <c r="E215" s="3" t="s">
        <v>14</v>
      </c>
      <c r="F215" s="2" t="s">
        <v>754</v>
      </c>
      <c r="G215" s="3" t="s">
        <v>14</v>
      </c>
      <c r="H215" s="2" t="s">
        <v>806</v>
      </c>
      <c r="I215" s="3" t="s">
        <v>14</v>
      </c>
      <c r="J215" s="2" t="s">
        <v>600</v>
      </c>
      <c r="K215" s="4" t="str">
        <f t="shared" si="3"/>
        <v>4Y / 0N</v>
      </c>
      <c r="L215" s="2" t="s">
        <v>19</v>
      </c>
      <c r="M215" s="2"/>
    </row>
    <row r="216" spans="1:13" ht="98.1" customHeight="1" x14ac:dyDescent="0.2">
      <c r="A216" s="2" t="s">
        <v>807</v>
      </c>
      <c r="B216" s="3" t="s">
        <v>24</v>
      </c>
      <c r="C216" s="3" t="s">
        <v>24</v>
      </c>
      <c r="D216" s="2" t="s">
        <v>808</v>
      </c>
      <c r="E216" s="3" t="s">
        <v>24</v>
      </c>
      <c r="F216" s="2" t="s">
        <v>809</v>
      </c>
      <c r="G216" s="3" t="s">
        <v>14</v>
      </c>
      <c r="H216" s="2" t="s">
        <v>810</v>
      </c>
      <c r="I216" s="3" t="s">
        <v>24</v>
      </c>
      <c r="J216" s="2" t="s">
        <v>811</v>
      </c>
      <c r="K216" s="4" t="str">
        <f t="shared" si="3"/>
        <v>1Y / 3N</v>
      </c>
      <c r="L216" s="2" t="s">
        <v>38</v>
      </c>
      <c r="M216" s="2" t="s">
        <v>812</v>
      </c>
    </row>
    <row r="217" spans="1:13" ht="98.1" customHeight="1" x14ac:dyDescent="0.2">
      <c r="A217" s="2" t="s">
        <v>813</v>
      </c>
      <c r="B217" s="3" t="s">
        <v>14</v>
      </c>
      <c r="C217" s="3" t="s">
        <v>14</v>
      </c>
      <c r="D217" s="2" t="s">
        <v>260</v>
      </c>
      <c r="E217" s="3" t="s">
        <v>14</v>
      </c>
      <c r="F217" s="2" t="s">
        <v>754</v>
      </c>
      <c r="G217" s="3" t="s">
        <v>14</v>
      </c>
      <c r="H217" s="2" t="s">
        <v>284</v>
      </c>
      <c r="I217" s="3" t="s">
        <v>14</v>
      </c>
      <c r="J217" s="2" t="s">
        <v>306</v>
      </c>
      <c r="K217" s="4" t="str">
        <f t="shared" si="3"/>
        <v>4Y / 0N</v>
      </c>
      <c r="L217" s="2" t="s">
        <v>19</v>
      </c>
      <c r="M217" s="2"/>
    </row>
    <row r="218" spans="1:13" ht="98.1" customHeight="1" x14ac:dyDescent="0.2">
      <c r="A218" s="2" t="s">
        <v>814</v>
      </c>
      <c r="B218" s="3" t="s">
        <v>14</v>
      </c>
      <c r="C218" s="3" t="s">
        <v>24</v>
      </c>
      <c r="D218" s="2" t="s">
        <v>815</v>
      </c>
      <c r="E218" s="3" t="s">
        <v>24</v>
      </c>
      <c r="F218" s="2" t="s">
        <v>816</v>
      </c>
      <c r="G218" s="3" t="s">
        <v>14</v>
      </c>
      <c r="H218" s="2" t="s">
        <v>658</v>
      </c>
      <c r="I218" s="3" t="s">
        <v>14</v>
      </c>
      <c r="J218" s="2" t="s">
        <v>751</v>
      </c>
      <c r="K218" s="4" t="str">
        <f t="shared" si="3"/>
        <v>2Y / 2N</v>
      </c>
      <c r="L218" s="2" t="s">
        <v>38</v>
      </c>
      <c r="M218" s="2" t="s">
        <v>110</v>
      </c>
    </row>
    <row r="219" spans="1:13" ht="98.1" customHeight="1" x14ac:dyDescent="0.2">
      <c r="A219" s="2" t="s">
        <v>817</v>
      </c>
      <c r="B219" s="3" t="s">
        <v>14</v>
      </c>
      <c r="C219" s="3" t="s">
        <v>14</v>
      </c>
      <c r="D219" s="2" t="s">
        <v>818</v>
      </c>
      <c r="E219" s="3" t="s">
        <v>14</v>
      </c>
      <c r="F219" s="2" t="s">
        <v>819</v>
      </c>
      <c r="G219" s="3" t="s">
        <v>14</v>
      </c>
      <c r="H219" s="2" t="s">
        <v>820</v>
      </c>
      <c r="I219" s="3" t="s">
        <v>14</v>
      </c>
      <c r="J219" s="2" t="s">
        <v>306</v>
      </c>
      <c r="K219" s="4" t="str">
        <f t="shared" si="3"/>
        <v>4Y / 0N</v>
      </c>
      <c r="L219" s="2" t="s">
        <v>19</v>
      </c>
      <c r="M219" s="2"/>
    </row>
    <row r="220" spans="1:13" ht="98.1" customHeight="1" x14ac:dyDescent="0.2">
      <c r="A220" s="2" t="s">
        <v>821</v>
      </c>
      <c r="B220" s="3" t="s">
        <v>14</v>
      </c>
      <c r="C220" s="3" t="s">
        <v>14</v>
      </c>
      <c r="D220" s="2" t="s">
        <v>822</v>
      </c>
      <c r="E220" s="3" t="s">
        <v>14</v>
      </c>
      <c r="F220" s="2" t="s">
        <v>754</v>
      </c>
      <c r="G220" s="3" t="s">
        <v>14</v>
      </c>
      <c r="H220" s="2" t="s">
        <v>823</v>
      </c>
      <c r="I220" s="3" t="s">
        <v>14</v>
      </c>
      <c r="J220" s="2" t="s">
        <v>824</v>
      </c>
      <c r="K220" s="4" t="str">
        <f t="shared" si="3"/>
        <v>4Y / 0N</v>
      </c>
      <c r="L220" s="2" t="s">
        <v>19</v>
      </c>
      <c r="M220" s="2"/>
    </row>
    <row r="221" spans="1:13" ht="98.1" customHeight="1" x14ac:dyDescent="0.2">
      <c r="A221" s="2" t="s">
        <v>825</v>
      </c>
      <c r="B221" s="3" t="s">
        <v>14</v>
      </c>
      <c r="C221" s="3" t="s">
        <v>14</v>
      </c>
      <c r="D221" s="2" t="s">
        <v>826</v>
      </c>
      <c r="E221" s="3" t="s">
        <v>14</v>
      </c>
      <c r="F221" s="2" t="s">
        <v>754</v>
      </c>
      <c r="G221" s="3" t="s">
        <v>14</v>
      </c>
      <c r="H221" s="2" t="s">
        <v>827</v>
      </c>
      <c r="I221" s="3" t="s">
        <v>14</v>
      </c>
      <c r="J221" s="2" t="s">
        <v>306</v>
      </c>
      <c r="K221" s="4" t="str">
        <f t="shared" si="3"/>
        <v>4Y / 0N</v>
      </c>
      <c r="L221" s="2" t="s">
        <v>19</v>
      </c>
      <c r="M221" s="2"/>
    </row>
    <row r="222" spans="1:13" ht="98.1" customHeight="1" x14ac:dyDescent="0.2">
      <c r="A222" s="2" t="s">
        <v>828</v>
      </c>
      <c r="B222" s="3" t="s">
        <v>14</v>
      </c>
      <c r="C222" s="3" t="s">
        <v>14</v>
      </c>
      <c r="D222" s="2" t="s">
        <v>829</v>
      </c>
      <c r="E222" s="3" t="s">
        <v>14</v>
      </c>
      <c r="F222" s="2" t="s">
        <v>754</v>
      </c>
      <c r="G222" s="3" t="s">
        <v>14</v>
      </c>
      <c r="H222" s="2" t="s">
        <v>830</v>
      </c>
      <c r="I222" s="3" t="s">
        <v>14</v>
      </c>
      <c r="J222" s="2" t="s">
        <v>306</v>
      </c>
      <c r="K222" s="4" t="str">
        <f t="shared" si="3"/>
        <v>4Y / 0N</v>
      </c>
      <c r="L222" s="2" t="s">
        <v>19</v>
      </c>
      <c r="M222" s="2"/>
    </row>
    <row r="223" spans="1:13" ht="98.1" customHeight="1" x14ac:dyDescent="0.2">
      <c r="A223" s="2" t="s">
        <v>831</v>
      </c>
      <c r="B223" s="3" t="s">
        <v>14</v>
      </c>
      <c r="C223" s="3" t="s">
        <v>14</v>
      </c>
      <c r="D223" s="2" t="s">
        <v>260</v>
      </c>
      <c r="E223" s="3" t="s">
        <v>14</v>
      </c>
      <c r="F223" s="2" t="s">
        <v>754</v>
      </c>
      <c r="G223" s="3" t="s">
        <v>14</v>
      </c>
      <c r="H223" s="2" t="s">
        <v>832</v>
      </c>
      <c r="I223" s="3" t="s">
        <v>14</v>
      </c>
      <c r="J223" s="2" t="s">
        <v>306</v>
      </c>
      <c r="K223" s="4" t="str">
        <f t="shared" si="3"/>
        <v>4Y / 0N</v>
      </c>
      <c r="L223" s="2" t="s">
        <v>19</v>
      </c>
      <c r="M223" s="2"/>
    </row>
    <row r="224" spans="1:13" ht="98.1" customHeight="1" x14ac:dyDescent="0.2">
      <c r="A224" s="2" t="s">
        <v>833</v>
      </c>
      <c r="B224" s="3" t="s">
        <v>14</v>
      </c>
      <c r="C224" s="3" t="s">
        <v>14</v>
      </c>
      <c r="D224" s="2" t="s">
        <v>260</v>
      </c>
      <c r="E224" s="3" t="s">
        <v>14</v>
      </c>
      <c r="F224" s="2" t="s">
        <v>276</v>
      </c>
      <c r="G224" s="3" t="s">
        <v>14</v>
      </c>
      <c r="H224" s="2" t="s">
        <v>626</v>
      </c>
      <c r="I224" s="3" t="s">
        <v>14</v>
      </c>
      <c r="J224" s="2" t="s">
        <v>306</v>
      </c>
      <c r="K224" s="4" t="str">
        <f t="shared" si="3"/>
        <v>4Y / 0N</v>
      </c>
      <c r="L224" s="2" t="s">
        <v>19</v>
      </c>
      <c r="M224" s="2"/>
    </row>
    <row r="225" spans="1:13" ht="98.1" customHeight="1" x14ac:dyDescent="0.2">
      <c r="A225" s="2" t="s">
        <v>834</v>
      </c>
      <c r="B225" s="3" t="s">
        <v>14</v>
      </c>
      <c r="C225" s="3" t="s">
        <v>14</v>
      </c>
      <c r="D225" s="2" t="s">
        <v>260</v>
      </c>
      <c r="E225" s="3" t="s">
        <v>14</v>
      </c>
      <c r="F225" s="2" t="s">
        <v>276</v>
      </c>
      <c r="G225" s="3" t="s">
        <v>14</v>
      </c>
      <c r="H225" s="2" t="s">
        <v>835</v>
      </c>
      <c r="I225" s="3" t="s">
        <v>14</v>
      </c>
      <c r="J225" s="2" t="s">
        <v>306</v>
      </c>
      <c r="K225" s="4" t="str">
        <f t="shared" si="3"/>
        <v>4Y / 0N</v>
      </c>
      <c r="L225" s="2" t="s">
        <v>19</v>
      </c>
      <c r="M225" s="2"/>
    </row>
    <row r="226" spans="1:13" ht="98.1" customHeight="1" x14ac:dyDescent="0.2">
      <c r="A226" s="2" t="s">
        <v>836</v>
      </c>
      <c r="B226" s="3" t="s">
        <v>24</v>
      </c>
      <c r="C226" s="3" t="s">
        <v>14</v>
      </c>
      <c r="D226" s="2" t="s">
        <v>260</v>
      </c>
      <c r="E226" s="3" t="s">
        <v>14</v>
      </c>
      <c r="F226" s="2" t="s">
        <v>837</v>
      </c>
      <c r="G226" s="3" t="s">
        <v>14</v>
      </c>
      <c r="H226" s="2" t="s">
        <v>838</v>
      </c>
      <c r="I226" s="3" t="s">
        <v>24</v>
      </c>
      <c r="J226" s="2" t="s">
        <v>839</v>
      </c>
      <c r="K226" s="4" t="str">
        <f t="shared" si="3"/>
        <v>3Y / 1N</v>
      </c>
      <c r="L226" s="2" t="s">
        <v>38</v>
      </c>
      <c r="M226" s="2" t="s">
        <v>202</v>
      </c>
    </row>
    <row r="227" spans="1:13" ht="98.1" customHeight="1" x14ac:dyDescent="0.2">
      <c r="A227" s="2" t="s">
        <v>840</v>
      </c>
      <c r="B227" s="3" t="s">
        <v>14</v>
      </c>
      <c r="C227" s="3" t="s">
        <v>14</v>
      </c>
      <c r="D227" s="2" t="s">
        <v>260</v>
      </c>
      <c r="E227" s="3" t="s">
        <v>14</v>
      </c>
      <c r="F227" s="2" t="s">
        <v>276</v>
      </c>
      <c r="G227" s="3" t="s">
        <v>14</v>
      </c>
      <c r="H227" s="2" t="s">
        <v>841</v>
      </c>
      <c r="I227" s="3" t="s">
        <v>14</v>
      </c>
      <c r="J227" s="2" t="s">
        <v>306</v>
      </c>
      <c r="K227" s="4" t="str">
        <f t="shared" si="3"/>
        <v>4Y / 0N</v>
      </c>
      <c r="L227" s="2" t="s">
        <v>19</v>
      </c>
      <c r="M227" s="2"/>
    </row>
    <row r="228" spans="1:13" ht="98.1" customHeight="1" x14ac:dyDescent="0.2">
      <c r="A228" s="2" t="s">
        <v>842</v>
      </c>
      <c r="B228" s="3" t="s">
        <v>14</v>
      </c>
      <c r="C228" s="3" t="s">
        <v>14</v>
      </c>
      <c r="D228" s="2" t="s">
        <v>260</v>
      </c>
      <c r="E228" s="3" t="s">
        <v>14</v>
      </c>
      <c r="F228" s="2" t="s">
        <v>276</v>
      </c>
      <c r="G228" s="3" t="s">
        <v>14</v>
      </c>
      <c r="H228" s="2" t="s">
        <v>843</v>
      </c>
      <c r="I228" s="3" t="s">
        <v>14</v>
      </c>
      <c r="J228" s="2" t="s">
        <v>306</v>
      </c>
      <c r="K228" s="4" t="str">
        <f t="shared" si="3"/>
        <v>4Y / 0N</v>
      </c>
      <c r="L228" s="2" t="s">
        <v>19</v>
      </c>
      <c r="M228" s="2"/>
    </row>
    <row r="229" spans="1:13" ht="98.1" customHeight="1" x14ac:dyDescent="0.2">
      <c r="A229" s="2" t="s">
        <v>844</v>
      </c>
      <c r="B229" s="3" t="s">
        <v>24</v>
      </c>
      <c r="C229" s="3" t="s">
        <v>24</v>
      </c>
      <c r="D229" s="2" t="s">
        <v>845</v>
      </c>
      <c r="E229" s="3" t="s">
        <v>24</v>
      </c>
      <c r="F229" s="2" t="s">
        <v>846</v>
      </c>
      <c r="G229" s="3" t="s">
        <v>24</v>
      </c>
      <c r="H229" s="2" t="s">
        <v>400</v>
      </c>
      <c r="I229" s="3" t="s">
        <v>24</v>
      </c>
      <c r="J229" s="2" t="s">
        <v>847</v>
      </c>
      <c r="K229" s="4" t="str">
        <f t="shared" si="3"/>
        <v>0Y / 4N</v>
      </c>
      <c r="L229" s="2" t="s">
        <v>19</v>
      </c>
      <c r="M229" s="2"/>
    </row>
    <row r="230" spans="1:13" ht="98.1" customHeight="1" x14ac:dyDescent="0.2">
      <c r="A230" s="2" t="s">
        <v>848</v>
      </c>
      <c r="B230" s="3" t="s">
        <v>24</v>
      </c>
      <c r="C230" s="3" t="s">
        <v>24</v>
      </c>
      <c r="D230" s="2" t="s">
        <v>849</v>
      </c>
      <c r="E230" s="3" t="s">
        <v>24</v>
      </c>
      <c r="F230" s="2" t="s">
        <v>850</v>
      </c>
      <c r="G230" s="3" t="s">
        <v>24</v>
      </c>
      <c r="H230" s="2" t="s">
        <v>851</v>
      </c>
      <c r="I230" s="3" t="s">
        <v>14</v>
      </c>
      <c r="J230" s="2" t="s">
        <v>852</v>
      </c>
      <c r="K230" s="4" t="str">
        <f t="shared" si="3"/>
        <v>1Y / 3N</v>
      </c>
      <c r="L230" s="2" t="s">
        <v>151</v>
      </c>
      <c r="M230" s="2" t="s">
        <v>853</v>
      </c>
    </row>
    <row r="231" spans="1:13" ht="98.1" customHeight="1" x14ac:dyDescent="0.2">
      <c r="A231" s="2" t="s">
        <v>854</v>
      </c>
      <c r="B231" s="3" t="s">
        <v>14</v>
      </c>
      <c r="C231" s="3" t="s">
        <v>14</v>
      </c>
      <c r="D231" s="2" t="s">
        <v>855</v>
      </c>
      <c r="E231" s="3" t="s">
        <v>14</v>
      </c>
      <c r="F231" s="2" t="s">
        <v>856</v>
      </c>
      <c r="G231" s="3" t="s">
        <v>14</v>
      </c>
      <c r="H231" s="2" t="s">
        <v>427</v>
      </c>
      <c r="I231" s="3" t="s">
        <v>14</v>
      </c>
      <c r="J231" s="2" t="s">
        <v>306</v>
      </c>
      <c r="K231" s="4" t="str">
        <f t="shared" si="3"/>
        <v>4Y / 0N</v>
      </c>
      <c r="L231" s="2" t="s">
        <v>19</v>
      </c>
      <c r="M231" s="2"/>
    </row>
    <row r="232" spans="1:13" ht="98.1" customHeight="1" x14ac:dyDescent="0.2">
      <c r="A232" s="2" t="s">
        <v>857</v>
      </c>
      <c r="B232" s="3" t="s">
        <v>24</v>
      </c>
      <c r="C232" s="3" t="s">
        <v>24</v>
      </c>
      <c r="D232" s="2" t="s">
        <v>388</v>
      </c>
      <c r="E232" s="3" t="s">
        <v>24</v>
      </c>
      <c r="F232" s="2" t="s">
        <v>240</v>
      </c>
      <c r="G232" s="3" t="s">
        <v>24</v>
      </c>
      <c r="H232" s="2" t="s">
        <v>206</v>
      </c>
      <c r="I232" s="3" t="s">
        <v>24</v>
      </c>
      <c r="J232" s="2" t="s">
        <v>858</v>
      </c>
      <c r="K232" s="4" t="str">
        <f t="shared" si="3"/>
        <v>0Y / 4N</v>
      </c>
      <c r="L232" s="2" t="s">
        <v>19</v>
      </c>
      <c r="M232" s="2"/>
    </row>
    <row r="233" spans="1:13" ht="98.1" customHeight="1" x14ac:dyDescent="0.2">
      <c r="A233" s="2" t="s">
        <v>859</v>
      </c>
      <c r="B233" s="3" t="s">
        <v>24</v>
      </c>
      <c r="C233" s="3" t="s">
        <v>24</v>
      </c>
      <c r="D233" s="2" t="s">
        <v>860</v>
      </c>
      <c r="E233" s="3" t="s">
        <v>24</v>
      </c>
      <c r="F233" s="2" t="s">
        <v>861</v>
      </c>
      <c r="G233" s="3" t="s">
        <v>24</v>
      </c>
      <c r="H233" s="2" t="s">
        <v>862</v>
      </c>
      <c r="I233" s="3" t="s">
        <v>24</v>
      </c>
      <c r="J233" s="2" t="s">
        <v>863</v>
      </c>
      <c r="K233" s="4" t="str">
        <f t="shared" si="3"/>
        <v>0Y / 4N</v>
      </c>
      <c r="L233" s="2" t="s">
        <v>19</v>
      </c>
      <c r="M233" s="2"/>
    </row>
    <row r="234" spans="1:13" ht="98.1" customHeight="1" x14ac:dyDescent="0.2">
      <c r="A234" s="2" t="s">
        <v>864</v>
      </c>
      <c r="B234" s="3" t="s">
        <v>14</v>
      </c>
      <c r="C234" s="3" t="s">
        <v>14</v>
      </c>
      <c r="D234" s="2" t="s">
        <v>260</v>
      </c>
      <c r="E234" s="3" t="s">
        <v>14</v>
      </c>
      <c r="F234" s="2" t="s">
        <v>276</v>
      </c>
      <c r="G234" s="3" t="s">
        <v>14</v>
      </c>
      <c r="H234" s="2" t="s">
        <v>865</v>
      </c>
      <c r="I234" s="3" t="s">
        <v>14</v>
      </c>
      <c r="J234" s="2" t="s">
        <v>866</v>
      </c>
      <c r="K234" s="4" t="str">
        <f t="shared" si="3"/>
        <v>4Y / 0N</v>
      </c>
      <c r="L234" s="2" t="s">
        <v>19</v>
      </c>
      <c r="M234" s="2"/>
    </row>
    <row r="235" spans="1:13" ht="98.1" customHeight="1" x14ac:dyDescent="0.2">
      <c r="A235" s="2" t="s">
        <v>867</v>
      </c>
      <c r="B235" s="3" t="s">
        <v>14</v>
      </c>
      <c r="C235" s="3" t="s">
        <v>14</v>
      </c>
      <c r="D235" s="2" t="s">
        <v>260</v>
      </c>
      <c r="E235" s="3" t="s">
        <v>14</v>
      </c>
      <c r="F235" s="2" t="s">
        <v>868</v>
      </c>
      <c r="G235" s="3" t="s">
        <v>14</v>
      </c>
      <c r="H235" s="2" t="s">
        <v>869</v>
      </c>
      <c r="I235" s="3" t="s">
        <v>14</v>
      </c>
      <c r="J235" s="2" t="s">
        <v>306</v>
      </c>
      <c r="K235" s="4" t="str">
        <f t="shared" si="3"/>
        <v>4Y / 0N</v>
      </c>
      <c r="L235" s="2" t="s">
        <v>19</v>
      </c>
      <c r="M235" s="2"/>
    </row>
    <row r="236" spans="1:13" ht="98.1" customHeight="1" x14ac:dyDescent="0.2">
      <c r="A236" s="2" t="s">
        <v>870</v>
      </c>
      <c r="B236" s="3" t="s">
        <v>14</v>
      </c>
      <c r="C236" s="3" t="s">
        <v>14</v>
      </c>
      <c r="D236" s="2" t="s">
        <v>260</v>
      </c>
      <c r="E236" s="3" t="s">
        <v>14</v>
      </c>
      <c r="F236" s="2" t="s">
        <v>276</v>
      </c>
      <c r="G236" s="3" t="s">
        <v>14</v>
      </c>
      <c r="H236" s="2" t="s">
        <v>830</v>
      </c>
      <c r="I236" s="3" t="s">
        <v>14</v>
      </c>
      <c r="J236" s="2" t="s">
        <v>871</v>
      </c>
      <c r="K236" s="4" t="str">
        <f t="shared" si="3"/>
        <v>4Y / 0N</v>
      </c>
      <c r="L236" s="2" t="s">
        <v>19</v>
      </c>
      <c r="M236" s="2"/>
    </row>
    <row r="237" spans="1:13" ht="98.1" customHeight="1" x14ac:dyDescent="0.2">
      <c r="A237" s="2" t="s">
        <v>872</v>
      </c>
      <c r="B237" s="3" t="s">
        <v>14</v>
      </c>
      <c r="C237" s="3" t="s">
        <v>14</v>
      </c>
      <c r="D237" s="2" t="s">
        <v>424</v>
      </c>
      <c r="E237" s="3" t="s">
        <v>14</v>
      </c>
      <c r="F237" s="2" t="s">
        <v>276</v>
      </c>
      <c r="G237" s="3" t="s">
        <v>14</v>
      </c>
      <c r="H237" s="2" t="s">
        <v>873</v>
      </c>
      <c r="I237" s="3" t="s">
        <v>14</v>
      </c>
      <c r="J237" s="2" t="s">
        <v>600</v>
      </c>
      <c r="K237" s="4" t="str">
        <f t="shared" si="3"/>
        <v>4Y / 0N</v>
      </c>
      <c r="L237" s="2" t="s">
        <v>19</v>
      </c>
      <c r="M237" s="2"/>
    </row>
    <row r="238" spans="1:13" ht="98.1" customHeight="1" x14ac:dyDescent="0.2">
      <c r="A238" s="2" t="s">
        <v>874</v>
      </c>
      <c r="B238" s="3" t="s">
        <v>24</v>
      </c>
      <c r="C238" s="3" t="s">
        <v>24</v>
      </c>
      <c r="D238" s="2" t="s">
        <v>767</v>
      </c>
      <c r="E238" s="3" t="s">
        <v>24</v>
      </c>
      <c r="F238" s="2" t="s">
        <v>875</v>
      </c>
      <c r="G238" s="3" t="s">
        <v>24</v>
      </c>
      <c r="H238" s="2" t="s">
        <v>876</v>
      </c>
      <c r="I238" s="3" t="s">
        <v>14</v>
      </c>
      <c r="J238" s="2" t="s">
        <v>877</v>
      </c>
      <c r="K238" s="4" t="str">
        <f t="shared" si="3"/>
        <v>1Y / 3N</v>
      </c>
      <c r="L238" s="2" t="s">
        <v>38</v>
      </c>
      <c r="M238" s="2" t="s">
        <v>545</v>
      </c>
    </row>
    <row r="239" spans="1:13" ht="98.1" customHeight="1" x14ac:dyDescent="0.2">
      <c r="A239" s="2" t="s">
        <v>878</v>
      </c>
      <c r="B239" s="3" t="s">
        <v>14</v>
      </c>
      <c r="C239" s="3" t="s">
        <v>14</v>
      </c>
      <c r="D239" s="2" t="s">
        <v>260</v>
      </c>
      <c r="E239" s="3" t="s">
        <v>14</v>
      </c>
      <c r="F239" s="2" t="s">
        <v>879</v>
      </c>
      <c r="G239" s="3" t="s">
        <v>14</v>
      </c>
      <c r="H239" s="2" t="s">
        <v>880</v>
      </c>
      <c r="I239" s="3" t="s">
        <v>14</v>
      </c>
      <c r="J239" s="2" t="s">
        <v>881</v>
      </c>
      <c r="K239" s="4" t="str">
        <f t="shared" si="3"/>
        <v>4Y / 0N</v>
      </c>
      <c r="L239" s="2" t="s">
        <v>19</v>
      </c>
      <c r="M239" s="2"/>
    </row>
    <row r="240" spans="1:13" ht="98.1" customHeight="1" x14ac:dyDescent="0.2">
      <c r="A240" s="2" t="s">
        <v>882</v>
      </c>
      <c r="B240" s="3" t="s">
        <v>14</v>
      </c>
      <c r="C240" s="3" t="s">
        <v>14</v>
      </c>
      <c r="D240" s="2" t="s">
        <v>136</v>
      </c>
      <c r="E240" s="3" t="s">
        <v>14</v>
      </c>
      <c r="F240" s="2" t="s">
        <v>883</v>
      </c>
      <c r="G240" s="3" t="s">
        <v>24</v>
      </c>
      <c r="H240" s="2" t="s">
        <v>738</v>
      </c>
      <c r="I240" s="3" t="s">
        <v>14</v>
      </c>
      <c r="J240" s="2" t="s">
        <v>884</v>
      </c>
      <c r="K240" s="4" t="str">
        <f t="shared" si="3"/>
        <v>3Y / 1N</v>
      </c>
      <c r="L240" s="2" t="s">
        <v>38</v>
      </c>
      <c r="M240" s="2" t="s">
        <v>110</v>
      </c>
    </row>
    <row r="241" spans="1:13" ht="98.1" customHeight="1" x14ac:dyDescent="0.2">
      <c r="A241" s="2" t="s">
        <v>885</v>
      </c>
      <c r="B241" s="3" t="s">
        <v>14</v>
      </c>
      <c r="C241" s="3" t="s">
        <v>14</v>
      </c>
      <c r="D241" s="2" t="s">
        <v>59</v>
      </c>
      <c r="E241" s="3" t="s">
        <v>14</v>
      </c>
      <c r="F241" s="2" t="s">
        <v>883</v>
      </c>
      <c r="G241" s="3" t="s">
        <v>14</v>
      </c>
      <c r="H241" s="2" t="s">
        <v>118</v>
      </c>
      <c r="I241" s="3" t="s">
        <v>14</v>
      </c>
      <c r="J241" s="2" t="s">
        <v>323</v>
      </c>
      <c r="K241" s="4" t="str">
        <f t="shared" si="3"/>
        <v>4Y / 0N</v>
      </c>
      <c r="L241" s="2" t="s">
        <v>19</v>
      </c>
      <c r="M241" s="2"/>
    </row>
    <row r="242" spans="1:13" ht="98.1" customHeight="1" x14ac:dyDescent="0.2">
      <c r="A242" s="2" t="s">
        <v>886</v>
      </c>
      <c r="B242" s="3" t="s">
        <v>14</v>
      </c>
      <c r="C242" s="3" t="s">
        <v>14</v>
      </c>
      <c r="D242" s="2" t="s">
        <v>59</v>
      </c>
      <c r="E242" s="3" t="s">
        <v>14</v>
      </c>
      <c r="F242" s="2" t="s">
        <v>887</v>
      </c>
      <c r="G242" s="3" t="s">
        <v>14</v>
      </c>
      <c r="H242" s="2" t="s">
        <v>480</v>
      </c>
      <c r="I242" s="3" t="s">
        <v>14</v>
      </c>
      <c r="J242" s="2" t="s">
        <v>323</v>
      </c>
      <c r="K242" s="4" t="str">
        <f t="shared" si="3"/>
        <v>4Y / 0N</v>
      </c>
      <c r="L242" s="2" t="s">
        <v>19</v>
      </c>
      <c r="M242" s="2"/>
    </row>
    <row r="243" spans="1:13" ht="98.1" customHeight="1" x14ac:dyDescent="0.2">
      <c r="A243" s="2" t="s">
        <v>888</v>
      </c>
      <c r="B243" s="3" t="s">
        <v>14</v>
      </c>
      <c r="C243" s="3" t="s">
        <v>14</v>
      </c>
      <c r="D243" s="2" t="s">
        <v>59</v>
      </c>
      <c r="E243" s="3" t="s">
        <v>14</v>
      </c>
      <c r="F243" s="2" t="s">
        <v>887</v>
      </c>
      <c r="G243" s="3" t="s">
        <v>14</v>
      </c>
      <c r="H243" s="2" t="s">
        <v>889</v>
      </c>
      <c r="I243" s="3" t="s">
        <v>14</v>
      </c>
      <c r="J243" s="2" t="s">
        <v>890</v>
      </c>
      <c r="K243" s="4" t="str">
        <f t="shared" si="3"/>
        <v>4Y / 0N</v>
      </c>
      <c r="L243" s="2" t="s">
        <v>19</v>
      </c>
      <c r="M243" s="2"/>
    </row>
    <row r="244" spans="1:13" ht="98.1" customHeight="1" x14ac:dyDescent="0.2">
      <c r="A244" s="2" t="s">
        <v>891</v>
      </c>
      <c r="B244" s="3" t="s">
        <v>14</v>
      </c>
      <c r="C244" s="3" t="s">
        <v>14</v>
      </c>
      <c r="D244" s="2" t="s">
        <v>855</v>
      </c>
      <c r="E244" s="3" t="s">
        <v>14</v>
      </c>
      <c r="F244" s="2" t="s">
        <v>883</v>
      </c>
      <c r="G244" s="3" t="s">
        <v>14</v>
      </c>
      <c r="H244" s="2" t="s">
        <v>892</v>
      </c>
      <c r="I244" s="3" t="s">
        <v>14</v>
      </c>
      <c r="J244" s="2" t="s">
        <v>323</v>
      </c>
      <c r="K244" s="4" t="str">
        <f t="shared" si="3"/>
        <v>4Y / 0N</v>
      </c>
      <c r="L244" s="2" t="s">
        <v>19</v>
      </c>
      <c r="M244" s="2"/>
    </row>
    <row r="245" spans="1:13" ht="98.1" customHeight="1" x14ac:dyDescent="0.2">
      <c r="A245" s="2" t="s">
        <v>893</v>
      </c>
      <c r="B245" s="3" t="s">
        <v>14</v>
      </c>
      <c r="C245" s="3" t="s">
        <v>14</v>
      </c>
      <c r="D245" s="2" t="s">
        <v>894</v>
      </c>
      <c r="E245" s="3" t="s">
        <v>14</v>
      </c>
      <c r="F245" s="2" t="s">
        <v>883</v>
      </c>
      <c r="G245" s="3" t="s">
        <v>14</v>
      </c>
      <c r="H245" s="2" t="s">
        <v>895</v>
      </c>
      <c r="I245" s="3" t="s">
        <v>14</v>
      </c>
      <c r="J245" s="2" t="s">
        <v>323</v>
      </c>
      <c r="K245" s="4" t="str">
        <f t="shared" si="3"/>
        <v>4Y / 0N</v>
      </c>
      <c r="L245" s="2" t="s">
        <v>19</v>
      </c>
      <c r="M245" s="2"/>
    </row>
    <row r="246" spans="1:13" ht="98.1" customHeight="1" x14ac:dyDescent="0.2">
      <c r="A246" s="2" t="s">
        <v>896</v>
      </c>
      <c r="B246" s="3" t="s">
        <v>24</v>
      </c>
      <c r="C246" s="3" t="s">
        <v>24</v>
      </c>
      <c r="D246" s="2" t="s">
        <v>897</v>
      </c>
      <c r="E246" s="3" t="s">
        <v>24</v>
      </c>
      <c r="F246" s="2" t="s">
        <v>846</v>
      </c>
      <c r="G246" s="3" t="s">
        <v>24</v>
      </c>
      <c r="H246" s="2" t="s">
        <v>126</v>
      </c>
      <c r="I246" s="3" t="s">
        <v>24</v>
      </c>
      <c r="J246" s="2" t="s">
        <v>898</v>
      </c>
      <c r="K246" s="4" t="str">
        <f t="shared" si="3"/>
        <v>0Y / 4N</v>
      </c>
      <c r="L246" s="2" t="s">
        <v>19</v>
      </c>
      <c r="M246" s="2"/>
    </row>
    <row r="247" spans="1:13" ht="98.1" customHeight="1" x14ac:dyDescent="0.2">
      <c r="A247" s="2" t="s">
        <v>899</v>
      </c>
      <c r="B247" s="3" t="s">
        <v>14</v>
      </c>
      <c r="C247" s="3" t="s">
        <v>14</v>
      </c>
      <c r="D247" s="2" t="s">
        <v>260</v>
      </c>
      <c r="E247" s="3" t="s">
        <v>14</v>
      </c>
      <c r="F247" s="2" t="s">
        <v>883</v>
      </c>
      <c r="G247" s="3" t="s">
        <v>14</v>
      </c>
      <c r="H247" s="2" t="s">
        <v>900</v>
      </c>
      <c r="I247" s="3" t="s">
        <v>14</v>
      </c>
      <c r="J247" s="2" t="s">
        <v>901</v>
      </c>
      <c r="K247" s="4" t="str">
        <f t="shared" si="3"/>
        <v>4Y / 0N</v>
      </c>
      <c r="L247" s="2" t="s">
        <v>19</v>
      </c>
      <c r="M247" s="2"/>
    </row>
    <row r="248" spans="1:13" ht="98.1" customHeight="1" x14ac:dyDescent="0.2">
      <c r="A248" s="2" t="s">
        <v>902</v>
      </c>
      <c r="B248" s="3" t="s">
        <v>14</v>
      </c>
      <c r="C248" s="3" t="s">
        <v>24</v>
      </c>
      <c r="D248" s="2" t="s">
        <v>897</v>
      </c>
      <c r="E248" s="3" t="s">
        <v>14</v>
      </c>
      <c r="F248" s="2" t="s">
        <v>887</v>
      </c>
      <c r="G248" s="3" t="s">
        <v>14</v>
      </c>
      <c r="H248" s="2" t="s">
        <v>903</v>
      </c>
      <c r="I248" s="3" t="s">
        <v>14</v>
      </c>
      <c r="J248" s="2" t="s">
        <v>904</v>
      </c>
      <c r="K248" s="4" t="str">
        <f t="shared" si="3"/>
        <v>3Y / 1N</v>
      </c>
      <c r="L248" s="2" t="s">
        <v>38</v>
      </c>
      <c r="M248" s="2" t="s">
        <v>110</v>
      </c>
    </row>
    <row r="249" spans="1:13" ht="98.1" customHeight="1" x14ac:dyDescent="0.2">
      <c r="A249" s="2" t="s">
        <v>905</v>
      </c>
      <c r="B249" s="3" t="s">
        <v>24</v>
      </c>
      <c r="C249" s="3" t="s">
        <v>24</v>
      </c>
      <c r="D249" s="2" t="s">
        <v>906</v>
      </c>
      <c r="E249" s="3" t="s">
        <v>24</v>
      </c>
      <c r="F249" s="2" t="s">
        <v>907</v>
      </c>
      <c r="G249" s="3" t="s">
        <v>14</v>
      </c>
      <c r="H249" s="2" t="s">
        <v>908</v>
      </c>
      <c r="I249" s="3" t="s">
        <v>14</v>
      </c>
      <c r="J249" s="2" t="s">
        <v>909</v>
      </c>
      <c r="K249" s="4" t="str">
        <f t="shared" si="3"/>
        <v>2Y / 2N</v>
      </c>
      <c r="L249" s="2" t="s">
        <v>38</v>
      </c>
      <c r="M249" s="2" t="s">
        <v>66</v>
      </c>
    </row>
    <row r="250" spans="1:13" ht="98.1" customHeight="1" x14ac:dyDescent="0.2">
      <c r="A250" s="2" t="s">
        <v>910</v>
      </c>
      <c r="B250" s="3" t="s">
        <v>14</v>
      </c>
      <c r="C250" s="3" t="s">
        <v>14</v>
      </c>
      <c r="D250" s="2" t="s">
        <v>911</v>
      </c>
      <c r="E250" s="3" t="s">
        <v>14</v>
      </c>
      <c r="F250" s="2" t="s">
        <v>887</v>
      </c>
      <c r="G250" s="3" t="s">
        <v>14</v>
      </c>
      <c r="H250" s="2" t="s">
        <v>912</v>
      </c>
      <c r="I250" s="3" t="s">
        <v>14</v>
      </c>
      <c r="J250" s="2" t="s">
        <v>913</v>
      </c>
      <c r="K250" s="4" t="str">
        <f t="shared" si="3"/>
        <v>4Y / 0N</v>
      </c>
      <c r="L250" s="2" t="s">
        <v>19</v>
      </c>
      <c r="M250" s="2"/>
    </row>
    <row r="251" spans="1:13" ht="98.1" customHeight="1" x14ac:dyDescent="0.2">
      <c r="A251" s="2" t="s">
        <v>914</v>
      </c>
      <c r="B251" s="3" t="s">
        <v>24</v>
      </c>
      <c r="C251" s="3" t="s">
        <v>24</v>
      </c>
      <c r="D251" s="2" t="s">
        <v>915</v>
      </c>
      <c r="E251" s="3" t="s">
        <v>24</v>
      </c>
      <c r="F251" s="2" t="s">
        <v>916</v>
      </c>
      <c r="G251" s="3" t="s">
        <v>24</v>
      </c>
      <c r="H251" s="2" t="s">
        <v>618</v>
      </c>
      <c r="I251" s="3" t="s">
        <v>24</v>
      </c>
      <c r="J251" s="2" t="s">
        <v>917</v>
      </c>
      <c r="K251" s="4" t="str">
        <f t="shared" si="3"/>
        <v>0Y / 4N</v>
      </c>
      <c r="L251" s="2" t="s">
        <v>19</v>
      </c>
      <c r="M251" s="2"/>
    </row>
    <row r="252" spans="1:13" ht="98.1" customHeight="1" x14ac:dyDescent="0.2">
      <c r="A252" s="2" t="s">
        <v>918</v>
      </c>
      <c r="B252" s="3" t="s">
        <v>24</v>
      </c>
      <c r="C252" s="3" t="s">
        <v>24</v>
      </c>
      <c r="D252" s="2" t="s">
        <v>919</v>
      </c>
      <c r="E252" s="3" t="s">
        <v>24</v>
      </c>
      <c r="F252" s="2" t="s">
        <v>920</v>
      </c>
      <c r="G252" s="3" t="s">
        <v>24</v>
      </c>
      <c r="H252" s="2" t="s">
        <v>921</v>
      </c>
      <c r="I252" s="3" t="s">
        <v>24</v>
      </c>
      <c r="J252" s="2" t="s">
        <v>922</v>
      </c>
      <c r="K252" s="4" t="str">
        <f t="shared" si="3"/>
        <v>0Y / 4N</v>
      </c>
      <c r="L252" s="2" t="s">
        <v>19</v>
      </c>
      <c r="M252" s="2"/>
    </row>
    <row r="253" spans="1:13" ht="98.1" customHeight="1" x14ac:dyDescent="0.2">
      <c r="A253" s="2" t="s">
        <v>923</v>
      </c>
      <c r="B253" s="3" t="s">
        <v>14</v>
      </c>
      <c r="C253" s="3" t="s">
        <v>14</v>
      </c>
      <c r="D253" s="2" t="s">
        <v>260</v>
      </c>
      <c r="E253" s="3" t="s">
        <v>14</v>
      </c>
      <c r="F253" s="2" t="s">
        <v>887</v>
      </c>
      <c r="G253" s="3" t="s">
        <v>14</v>
      </c>
      <c r="H253" s="2" t="s">
        <v>924</v>
      </c>
      <c r="I253" s="3" t="s">
        <v>14</v>
      </c>
      <c r="J253" s="2" t="s">
        <v>323</v>
      </c>
      <c r="K253" s="4" t="str">
        <f t="shared" si="3"/>
        <v>4Y / 0N</v>
      </c>
      <c r="L253" s="2" t="s">
        <v>19</v>
      </c>
      <c r="M253" s="2"/>
    </row>
    <row r="254" spans="1:13" ht="98.1" customHeight="1" x14ac:dyDescent="0.2">
      <c r="A254" s="2" t="s">
        <v>925</v>
      </c>
      <c r="B254" s="3" t="s">
        <v>14</v>
      </c>
      <c r="C254" s="3" t="s">
        <v>14</v>
      </c>
      <c r="D254" s="2" t="s">
        <v>926</v>
      </c>
      <c r="E254" s="3" t="s">
        <v>14</v>
      </c>
      <c r="F254" s="2" t="s">
        <v>883</v>
      </c>
      <c r="G254" s="3" t="s">
        <v>14</v>
      </c>
      <c r="H254" s="2" t="s">
        <v>927</v>
      </c>
      <c r="I254" s="3" t="s">
        <v>14</v>
      </c>
      <c r="J254" s="2" t="s">
        <v>323</v>
      </c>
      <c r="K254" s="4" t="str">
        <f t="shared" si="3"/>
        <v>4Y / 0N</v>
      </c>
      <c r="L254" s="2" t="s">
        <v>19</v>
      </c>
      <c r="M254" s="2"/>
    </row>
    <row r="255" spans="1:13" ht="98.1" customHeight="1" x14ac:dyDescent="0.2">
      <c r="A255" s="2" t="s">
        <v>928</v>
      </c>
      <c r="B255" s="3" t="s">
        <v>24</v>
      </c>
      <c r="C255" s="3" t="s">
        <v>14</v>
      </c>
      <c r="D255" s="2" t="s">
        <v>260</v>
      </c>
      <c r="E255" s="3" t="s">
        <v>14</v>
      </c>
      <c r="F255" s="2" t="s">
        <v>887</v>
      </c>
      <c r="G255" s="3" t="s">
        <v>14</v>
      </c>
      <c r="H255" s="2" t="s">
        <v>929</v>
      </c>
      <c r="I255" s="3" t="s">
        <v>24</v>
      </c>
      <c r="J255" s="2" t="s">
        <v>930</v>
      </c>
      <c r="K255" s="4" t="str">
        <f t="shared" si="3"/>
        <v>3Y / 1N</v>
      </c>
      <c r="L255" s="2" t="s">
        <v>38</v>
      </c>
      <c r="M255" s="2" t="s">
        <v>931</v>
      </c>
    </row>
    <row r="256" spans="1:13" ht="98.1" customHeight="1" x14ac:dyDescent="0.2">
      <c r="A256" s="2" t="s">
        <v>932</v>
      </c>
      <c r="B256" s="3" t="s">
        <v>14</v>
      </c>
      <c r="C256" s="3" t="s">
        <v>14</v>
      </c>
      <c r="D256" s="2" t="s">
        <v>933</v>
      </c>
      <c r="E256" s="3" t="s">
        <v>14</v>
      </c>
      <c r="F256" s="2" t="s">
        <v>883</v>
      </c>
      <c r="G256" s="3" t="s">
        <v>14</v>
      </c>
      <c r="H256" s="2" t="s">
        <v>934</v>
      </c>
      <c r="I256" s="3" t="s">
        <v>14</v>
      </c>
      <c r="J256" s="2" t="s">
        <v>935</v>
      </c>
      <c r="K256" s="4" t="str">
        <f t="shared" si="3"/>
        <v>4Y / 0N</v>
      </c>
      <c r="L256" s="2" t="s">
        <v>19</v>
      </c>
      <c r="M256" s="2"/>
    </row>
    <row r="257" spans="1:13" ht="98.1" customHeight="1" x14ac:dyDescent="0.2">
      <c r="A257" s="2" t="s">
        <v>936</v>
      </c>
      <c r="B257" s="3" t="s">
        <v>14</v>
      </c>
      <c r="C257" s="3" t="s">
        <v>14</v>
      </c>
      <c r="D257" s="2" t="s">
        <v>260</v>
      </c>
      <c r="E257" s="3" t="s">
        <v>14</v>
      </c>
      <c r="F257" s="2" t="s">
        <v>883</v>
      </c>
      <c r="G257" s="3" t="s">
        <v>14</v>
      </c>
      <c r="H257" s="2" t="s">
        <v>937</v>
      </c>
      <c r="I257" s="3" t="s">
        <v>14</v>
      </c>
      <c r="J257" s="2" t="s">
        <v>323</v>
      </c>
      <c r="K257" s="4" t="str">
        <f t="shared" si="3"/>
        <v>4Y / 0N</v>
      </c>
      <c r="L257" s="2" t="s">
        <v>19</v>
      </c>
      <c r="M257" s="2"/>
    </row>
    <row r="258" spans="1:13" ht="98.1" customHeight="1" x14ac:dyDescent="0.2">
      <c r="A258" s="2" t="s">
        <v>938</v>
      </c>
      <c r="B258" s="3" t="s">
        <v>24</v>
      </c>
      <c r="C258" s="3" t="s">
        <v>24</v>
      </c>
      <c r="D258" s="2" t="s">
        <v>939</v>
      </c>
      <c r="E258" s="3" t="s">
        <v>14</v>
      </c>
      <c r="F258" s="2" t="s">
        <v>887</v>
      </c>
      <c r="G258" s="3" t="s">
        <v>14</v>
      </c>
      <c r="H258" s="2" t="s">
        <v>480</v>
      </c>
      <c r="I258" s="3" t="s">
        <v>14</v>
      </c>
      <c r="J258" s="2" t="s">
        <v>940</v>
      </c>
      <c r="K258" s="4" t="str">
        <f t="shared" ref="K258:K321" si="4">(COUNTIF(C258,"Y")+COUNTIF(E258,"Y")+COUNTIF(G258,"Y")+COUNTIF(I258,"Y"))&amp;"Y / "&amp;(COUNTIF(C258,"N")+COUNTIF(E258,"N")+COUNTIF(G258,"N")+COUNTIF(I258,"N"))&amp;"N"&amp;IF(4-(COUNTIF(C258,"Y")+COUNTIF(E258,"Y")+COUNTIF(G258,"Y")+COUNTIF(I258,"Y"))-(COUNTIF(C258,"N")+COUNTIF(E258,"N")+COUNTIF(G258,"N")+COUNTIF(I258,"N"))&gt;0," / "&amp;(4-(COUNTIF(C258,"Y")+COUNTIF(E258,"Y")+COUNTIF(G258,"Y")+COUNTIF(I258,"Y"))-(COUNTIF(C258,"N")+COUNTIF(E258,"N")+COUNTIF(G258,"N")+COUNTIF(I258,"N")))&amp;" ambiguous","")</f>
        <v>3Y / 1N</v>
      </c>
      <c r="L258" s="2" t="s">
        <v>38</v>
      </c>
      <c r="M258" s="2" t="s">
        <v>347</v>
      </c>
    </row>
    <row r="259" spans="1:13" ht="98.1" customHeight="1" x14ac:dyDescent="0.2">
      <c r="A259" s="2" t="s">
        <v>941</v>
      </c>
      <c r="B259" s="3" t="s">
        <v>14</v>
      </c>
      <c r="C259" s="3" t="s">
        <v>14</v>
      </c>
      <c r="D259" s="2" t="s">
        <v>260</v>
      </c>
      <c r="E259" s="3" t="s">
        <v>14</v>
      </c>
      <c r="F259" s="2" t="s">
        <v>883</v>
      </c>
      <c r="G259" s="3" t="s">
        <v>14</v>
      </c>
      <c r="H259" s="2" t="s">
        <v>942</v>
      </c>
      <c r="I259" s="3" t="s">
        <v>14</v>
      </c>
      <c r="J259" s="2" t="s">
        <v>306</v>
      </c>
      <c r="K259" s="4" t="str">
        <f t="shared" si="4"/>
        <v>4Y / 0N</v>
      </c>
      <c r="L259" s="2" t="s">
        <v>19</v>
      </c>
      <c r="M259" s="2"/>
    </row>
    <row r="260" spans="1:13" ht="98.1" customHeight="1" x14ac:dyDescent="0.2">
      <c r="A260" s="2" t="s">
        <v>943</v>
      </c>
      <c r="B260" s="3" t="s">
        <v>14</v>
      </c>
      <c r="C260" s="3" t="s">
        <v>14</v>
      </c>
      <c r="D260" s="2" t="s">
        <v>944</v>
      </c>
      <c r="E260" s="3" t="s">
        <v>14</v>
      </c>
      <c r="F260" s="2" t="s">
        <v>883</v>
      </c>
      <c r="G260" s="3" t="s">
        <v>14</v>
      </c>
      <c r="H260" s="2" t="s">
        <v>945</v>
      </c>
      <c r="I260" s="3" t="s">
        <v>14</v>
      </c>
      <c r="J260" s="2" t="s">
        <v>306</v>
      </c>
      <c r="K260" s="4" t="str">
        <f t="shared" si="4"/>
        <v>4Y / 0N</v>
      </c>
      <c r="L260" s="2" t="s">
        <v>19</v>
      </c>
      <c r="M260" s="2"/>
    </row>
    <row r="261" spans="1:13" ht="98.1" customHeight="1" x14ac:dyDescent="0.2">
      <c r="A261" s="2" t="s">
        <v>946</v>
      </c>
      <c r="B261" s="3" t="s">
        <v>14</v>
      </c>
      <c r="C261" s="3" t="s">
        <v>14</v>
      </c>
      <c r="D261" s="2" t="s">
        <v>944</v>
      </c>
      <c r="E261" s="3" t="s">
        <v>14</v>
      </c>
      <c r="F261" s="2" t="s">
        <v>887</v>
      </c>
      <c r="G261" s="3" t="s">
        <v>14</v>
      </c>
      <c r="H261" s="2" t="s">
        <v>947</v>
      </c>
      <c r="I261" s="3" t="s">
        <v>14</v>
      </c>
      <c r="J261" s="2" t="s">
        <v>607</v>
      </c>
      <c r="K261" s="4" t="str">
        <f t="shared" si="4"/>
        <v>4Y / 0N</v>
      </c>
      <c r="L261" s="2" t="s">
        <v>19</v>
      </c>
      <c r="M261" s="2"/>
    </row>
    <row r="262" spans="1:13" ht="98.1" customHeight="1" x14ac:dyDescent="0.2">
      <c r="A262" s="2" t="s">
        <v>948</v>
      </c>
      <c r="B262" s="3" t="s">
        <v>14</v>
      </c>
      <c r="C262" s="3" t="s">
        <v>14</v>
      </c>
      <c r="D262" s="2" t="s">
        <v>944</v>
      </c>
      <c r="E262" s="3" t="s">
        <v>14</v>
      </c>
      <c r="F262" s="2" t="s">
        <v>883</v>
      </c>
      <c r="G262" s="3" t="s">
        <v>14</v>
      </c>
      <c r="H262" s="2" t="s">
        <v>949</v>
      </c>
      <c r="I262" s="3" t="s">
        <v>14</v>
      </c>
      <c r="J262" s="2" t="s">
        <v>306</v>
      </c>
      <c r="K262" s="4" t="str">
        <f t="shared" si="4"/>
        <v>4Y / 0N</v>
      </c>
      <c r="L262" s="2" t="s">
        <v>19</v>
      </c>
      <c r="M262" s="2"/>
    </row>
    <row r="263" spans="1:13" ht="98.1" customHeight="1" x14ac:dyDescent="0.2">
      <c r="A263" s="2" t="s">
        <v>950</v>
      </c>
      <c r="B263" s="3" t="s">
        <v>24</v>
      </c>
      <c r="C263" s="3" t="s">
        <v>24</v>
      </c>
      <c r="D263" s="2" t="s">
        <v>951</v>
      </c>
      <c r="E263" s="3" t="s">
        <v>14</v>
      </c>
      <c r="F263" s="2" t="s">
        <v>883</v>
      </c>
      <c r="G263" s="3" t="s">
        <v>14</v>
      </c>
      <c r="H263" s="2" t="s">
        <v>952</v>
      </c>
      <c r="I263" s="3" t="s">
        <v>14</v>
      </c>
      <c r="J263" s="2" t="s">
        <v>953</v>
      </c>
      <c r="K263" s="4" t="str">
        <f t="shared" si="4"/>
        <v>3Y / 1N</v>
      </c>
      <c r="L263" s="2" t="s">
        <v>38</v>
      </c>
      <c r="M263" s="2" t="s">
        <v>39</v>
      </c>
    </row>
    <row r="264" spans="1:13" ht="98.1" customHeight="1" x14ac:dyDescent="0.2">
      <c r="A264" s="2" t="s">
        <v>954</v>
      </c>
      <c r="B264" s="3" t="s">
        <v>14</v>
      </c>
      <c r="C264" s="3" t="s">
        <v>14</v>
      </c>
      <c r="D264" s="2" t="s">
        <v>260</v>
      </c>
      <c r="E264" s="3" t="s">
        <v>14</v>
      </c>
      <c r="F264" s="2" t="s">
        <v>883</v>
      </c>
      <c r="G264" s="3" t="s">
        <v>14</v>
      </c>
      <c r="H264" s="2" t="s">
        <v>955</v>
      </c>
      <c r="I264" s="3" t="s">
        <v>14</v>
      </c>
      <c r="J264" s="2" t="s">
        <v>956</v>
      </c>
      <c r="K264" s="4" t="str">
        <f t="shared" si="4"/>
        <v>4Y / 0N</v>
      </c>
      <c r="L264" s="2" t="s">
        <v>19</v>
      </c>
      <c r="M264" s="2"/>
    </row>
    <row r="265" spans="1:13" ht="98.1" customHeight="1" x14ac:dyDescent="0.2">
      <c r="A265" s="2" t="s">
        <v>957</v>
      </c>
      <c r="B265" s="3" t="s">
        <v>14</v>
      </c>
      <c r="C265" s="3" t="s">
        <v>14</v>
      </c>
      <c r="D265" s="2" t="s">
        <v>944</v>
      </c>
      <c r="E265" s="3" t="s">
        <v>14</v>
      </c>
      <c r="F265" s="2" t="s">
        <v>883</v>
      </c>
      <c r="G265" s="3" t="s">
        <v>14</v>
      </c>
      <c r="H265" s="2" t="s">
        <v>958</v>
      </c>
      <c r="I265" s="3" t="s">
        <v>14</v>
      </c>
      <c r="J265" s="2" t="s">
        <v>306</v>
      </c>
      <c r="K265" s="4" t="str">
        <f t="shared" si="4"/>
        <v>4Y / 0N</v>
      </c>
      <c r="L265" s="2" t="s">
        <v>19</v>
      </c>
      <c r="M265" s="2"/>
    </row>
    <row r="266" spans="1:13" ht="98.1" customHeight="1" x14ac:dyDescent="0.2">
      <c r="A266" s="2" t="s">
        <v>959</v>
      </c>
      <c r="B266" s="3" t="s">
        <v>24</v>
      </c>
      <c r="C266" s="3" t="s">
        <v>24</v>
      </c>
      <c r="D266" s="2" t="s">
        <v>609</v>
      </c>
      <c r="E266" s="3" t="s">
        <v>24</v>
      </c>
      <c r="F266" s="2" t="s">
        <v>960</v>
      </c>
      <c r="G266" s="3" t="s">
        <v>24</v>
      </c>
      <c r="H266" s="2" t="s">
        <v>961</v>
      </c>
      <c r="I266" s="3" t="s">
        <v>24</v>
      </c>
      <c r="J266" s="2" t="s">
        <v>962</v>
      </c>
      <c r="K266" s="4" t="str">
        <f t="shared" si="4"/>
        <v>0Y / 4N</v>
      </c>
      <c r="L266" s="2" t="s">
        <v>19</v>
      </c>
      <c r="M266" s="2"/>
    </row>
    <row r="267" spans="1:13" ht="98.1" customHeight="1" x14ac:dyDescent="0.2">
      <c r="A267" s="2" t="s">
        <v>963</v>
      </c>
      <c r="B267" s="3" t="s">
        <v>14</v>
      </c>
      <c r="C267" s="3" t="s">
        <v>14</v>
      </c>
      <c r="D267" s="2" t="s">
        <v>944</v>
      </c>
      <c r="E267" s="3" t="s">
        <v>14</v>
      </c>
      <c r="F267" s="2" t="s">
        <v>964</v>
      </c>
      <c r="G267" s="3" t="s">
        <v>14</v>
      </c>
      <c r="H267" s="2" t="s">
        <v>965</v>
      </c>
      <c r="I267" s="3" t="s">
        <v>14</v>
      </c>
      <c r="J267" s="2" t="s">
        <v>323</v>
      </c>
      <c r="K267" s="4" t="str">
        <f t="shared" si="4"/>
        <v>4Y / 0N</v>
      </c>
      <c r="L267" s="2" t="s">
        <v>19</v>
      </c>
      <c r="M267" s="2"/>
    </row>
    <row r="268" spans="1:13" ht="98.1" customHeight="1" x14ac:dyDescent="0.2">
      <c r="A268" s="2" t="s">
        <v>966</v>
      </c>
      <c r="B268" s="3" t="s">
        <v>14</v>
      </c>
      <c r="C268" s="3" t="s">
        <v>14</v>
      </c>
      <c r="D268" s="2" t="s">
        <v>944</v>
      </c>
      <c r="E268" s="3" t="s">
        <v>14</v>
      </c>
      <c r="F268" s="2" t="s">
        <v>883</v>
      </c>
      <c r="G268" s="3" t="s">
        <v>14</v>
      </c>
      <c r="H268" s="2" t="s">
        <v>967</v>
      </c>
      <c r="I268" s="3" t="s">
        <v>14</v>
      </c>
      <c r="J268" s="2" t="s">
        <v>968</v>
      </c>
      <c r="K268" s="4" t="str">
        <f t="shared" si="4"/>
        <v>4Y / 0N</v>
      </c>
      <c r="L268" s="2" t="s">
        <v>19</v>
      </c>
      <c r="M268" s="2"/>
    </row>
    <row r="269" spans="1:13" ht="98.1" customHeight="1" x14ac:dyDescent="0.2">
      <c r="A269" s="2" t="s">
        <v>969</v>
      </c>
      <c r="B269" s="3" t="s">
        <v>24</v>
      </c>
      <c r="C269" s="3" t="s">
        <v>24</v>
      </c>
      <c r="D269" s="2" t="s">
        <v>970</v>
      </c>
      <c r="E269" s="3" t="s">
        <v>24</v>
      </c>
      <c r="F269" s="2" t="s">
        <v>971</v>
      </c>
      <c r="G269" s="3" t="s">
        <v>24</v>
      </c>
      <c r="H269" s="2" t="s">
        <v>972</v>
      </c>
      <c r="I269" s="3" t="s">
        <v>14</v>
      </c>
      <c r="J269" s="2" t="s">
        <v>973</v>
      </c>
      <c r="K269" s="4" t="str">
        <f t="shared" si="4"/>
        <v>1Y / 3N</v>
      </c>
      <c r="L269" s="2" t="s">
        <v>151</v>
      </c>
      <c r="M269" s="2" t="s">
        <v>974</v>
      </c>
    </row>
    <row r="270" spans="1:13" ht="98.1" customHeight="1" x14ac:dyDescent="0.2">
      <c r="A270" s="2" t="s">
        <v>975</v>
      </c>
      <c r="B270" s="3" t="s">
        <v>14</v>
      </c>
      <c r="C270" s="3" t="s">
        <v>14</v>
      </c>
      <c r="D270" s="2" t="s">
        <v>944</v>
      </c>
      <c r="E270" s="3" t="s">
        <v>14</v>
      </c>
      <c r="F270" s="2" t="s">
        <v>887</v>
      </c>
      <c r="G270" s="3" t="s">
        <v>14</v>
      </c>
      <c r="H270" s="2" t="s">
        <v>976</v>
      </c>
      <c r="I270" s="3" t="s">
        <v>14</v>
      </c>
      <c r="J270" s="2" t="s">
        <v>323</v>
      </c>
      <c r="K270" s="4" t="str">
        <f t="shared" si="4"/>
        <v>4Y / 0N</v>
      </c>
      <c r="L270" s="2" t="s">
        <v>19</v>
      </c>
      <c r="M270" s="2"/>
    </row>
    <row r="271" spans="1:13" ht="98.1" customHeight="1" x14ac:dyDescent="0.2">
      <c r="A271" s="2" t="s">
        <v>977</v>
      </c>
      <c r="B271" s="3" t="s">
        <v>24</v>
      </c>
      <c r="C271" s="3" t="s">
        <v>14</v>
      </c>
      <c r="D271" s="2" t="s">
        <v>944</v>
      </c>
      <c r="E271" s="3" t="s">
        <v>14</v>
      </c>
      <c r="F271" s="2" t="s">
        <v>883</v>
      </c>
      <c r="G271" s="3" t="s">
        <v>14</v>
      </c>
      <c r="H271" s="2" t="s">
        <v>978</v>
      </c>
      <c r="I271" s="3" t="s">
        <v>24</v>
      </c>
      <c r="J271" s="2" t="s">
        <v>979</v>
      </c>
      <c r="K271" s="4" t="str">
        <f t="shared" si="4"/>
        <v>3Y / 1N</v>
      </c>
      <c r="L271" s="2" t="s">
        <v>38</v>
      </c>
      <c r="M271" s="2" t="s">
        <v>202</v>
      </c>
    </row>
    <row r="272" spans="1:13" ht="98.1" customHeight="1" x14ac:dyDescent="0.2">
      <c r="A272" s="2" t="s">
        <v>980</v>
      </c>
      <c r="B272" s="3" t="s">
        <v>24</v>
      </c>
      <c r="C272" s="3" t="s">
        <v>14</v>
      </c>
      <c r="D272" s="2" t="s">
        <v>424</v>
      </c>
      <c r="E272" s="3" t="s">
        <v>14</v>
      </c>
      <c r="F272" s="2" t="s">
        <v>981</v>
      </c>
      <c r="G272" s="3" t="s">
        <v>14</v>
      </c>
      <c r="H272" s="2" t="s">
        <v>982</v>
      </c>
      <c r="I272" s="3" t="s">
        <v>24</v>
      </c>
      <c r="J272" s="2" t="s">
        <v>983</v>
      </c>
      <c r="K272" s="4" t="str">
        <f t="shared" si="4"/>
        <v>3Y / 1N</v>
      </c>
      <c r="L272" s="2" t="s">
        <v>38</v>
      </c>
      <c r="M272" s="2" t="s">
        <v>202</v>
      </c>
    </row>
    <row r="273" spans="1:13" ht="98.1" customHeight="1" x14ac:dyDescent="0.2">
      <c r="A273" s="2" t="s">
        <v>984</v>
      </c>
      <c r="B273" s="3" t="s">
        <v>24</v>
      </c>
      <c r="C273" s="3" t="s">
        <v>14</v>
      </c>
      <c r="D273" s="2" t="s">
        <v>985</v>
      </c>
      <c r="E273" s="3" t="s">
        <v>24</v>
      </c>
      <c r="F273" s="2" t="s">
        <v>986</v>
      </c>
      <c r="G273" s="3" t="s">
        <v>14</v>
      </c>
      <c r="H273" s="2" t="s">
        <v>987</v>
      </c>
      <c r="I273" s="3" t="s">
        <v>14</v>
      </c>
      <c r="J273" s="2" t="s">
        <v>940</v>
      </c>
      <c r="K273" s="4" t="str">
        <f t="shared" si="4"/>
        <v>3Y / 1N</v>
      </c>
      <c r="L273" s="2" t="s">
        <v>38</v>
      </c>
      <c r="M273" s="2" t="s">
        <v>347</v>
      </c>
    </row>
    <row r="274" spans="1:13" ht="98.1" customHeight="1" x14ac:dyDescent="0.2">
      <c r="A274" s="2" t="s">
        <v>988</v>
      </c>
      <c r="B274" s="3" t="s">
        <v>24</v>
      </c>
      <c r="C274" s="3" t="s">
        <v>14</v>
      </c>
      <c r="D274" s="2" t="s">
        <v>169</v>
      </c>
      <c r="E274" s="3" t="s">
        <v>14</v>
      </c>
      <c r="F274" s="2" t="s">
        <v>377</v>
      </c>
      <c r="G274" s="3" t="s">
        <v>14</v>
      </c>
      <c r="H274" s="2" t="s">
        <v>989</v>
      </c>
      <c r="I274" s="3" t="s">
        <v>24</v>
      </c>
      <c r="J274" s="2" t="s">
        <v>990</v>
      </c>
      <c r="K274" s="4" t="str">
        <f t="shared" si="4"/>
        <v>3Y / 1N</v>
      </c>
      <c r="L274" s="2" t="s">
        <v>38</v>
      </c>
      <c r="M274" s="2" t="s">
        <v>202</v>
      </c>
    </row>
    <row r="275" spans="1:13" ht="98.1" customHeight="1" x14ac:dyDescent="0.2">
      <c r="A275" s="2" t="s">
        <v>991</v>
      </c>
      <c r="B275" s="3" t="s">
        <v>14</v>
      </c>
      <c r="C275" s="3" t="s">
        <v>14</v>
      </c>
      <c r="D275" s="2" t="s">
        <v>59</v>
      </c>
      <c r="E275" s="3" t="s">
        <v>14</v>
      </c>
      <c r="F275" s="2" t="s">
        <v>887</v>
      </c>
      <c r="G275" s="3" t="s">
        <v>14</v>
      </c>
      <c r="H275" s="2" t="s">
        <v>992</v>
      </c>
      <c r="I275" s="3" t="s">
        <v>14</v>
      </c>
      <c r="J275" s="2" t="s">
        <v>323</v>
      </c>
      <c r="K275" s="4" t="str">
        <f t="shared" si="4"/>
        <v>4Y / 0N</v>
      </c>
      <c r="L275" s="2" t="s">
        <v>19</v>
      </c>
      <c r="M275" s="2"/>
    </row>
    <row r="276" spans="1:13" ht="98.1" customHeight="1" x14ac:dyDescent="0.2">
      <c r="A276" s="2" t="s">
        <v>993</v>
      </c>
      <c r="B276" s="3" t="s">
        <v>24</v>
      </c>
      <c r="C276" s="3" t="s">
        <v>24</v>
      </c>
      <c r="D276" s="2" t="s">
        <v>994</v>
      </c>
      <c r="E276" s="3" t="s">
        <v>24</v>
      </c>
      <c r="F276" s="2" t="s">
        <v>995</v>
      </c>
      <c r="G276" s="3" t="s">
        <v>24</v>
      </c>
      <c r="H276" s="2" t="s">
        <v>126</v>
      </c>
      <c r="I276" s="3" t="s">
        <v>24</v>
      </c>
      <c r="J276" s="2" t="s">
        <v>996</v>
      </c>
      <c r="K276" s="4" t="str">
        <f t="shared" si="4"/>
        <v>0Y / 4N</v>
      </c>
      <c r="L276" s="2" t="s">
        <v>19</v>
      </c>
      <c r="M276" s="2"/>
    </row>
    <row r="277" spans="1:13" ht="98.1" customHeight="1" x14ac:dyDescent="0.2">
      <c r="A277" s="2" t="s">
        <v>997</v>
      </c>
      <c r="B277" s="3" t="s">
        <v>14</v>
      </c>
      <c r="C277" s="3" t="s">
        <v>14</v>
      </c>
      <c r="D277" s="2" t="s">
        <v>133</v>
      </c>
      <c r="E277" s="3" t="s">
        <v>14</v>
      </c>
      <c r="F277" s="2" t="s">
        <v>887</v>
      </c>
      <c r="G277" s="3" t="s">
        <v>14</v>
      </c>
      <c r="H277" s="2" t="s">
        <v>136</v>
      </c>
      <c r="I277" s="3" t="s">
        <v>14</v>
      </c>
      <c r="J277" s="2" t="s">
        <v>998</v>
      </c>
      <c r="K277" s="4" t="str">
        <f t="shared" si="4"/>
        <v>4Y / 0N</v>
      </c>
      <c r="L277" s="2" t="s">
        <v>19</v>
      </c>
      <c r="M277" s="2"/>
    </row>
    <row r="278" spans="1:13" ht="98.1" customHeight="1" x14ac:dyDescent="0.2">
      <c r="A278" s="2" t="s">
        <v>999</v>
      </c>
      <c r="B278" s="3" t="s">
        <v>24</v>
      </c>
      <c r="C278" s="3" t="s">
        <v>24</v>
      </c>
      <c r="D278" s="2" t="s">
        <v>1000</v>
      </c>
      <c r="E278" s="3" t="s">
        <v>24</v>
      </c>
      <c r="F278" s="2" t="s">
        <v>1001</v>
      </c>
      <c r="G278" s="3" t="s">
        <v>24</v>
      </c>
      <c r="H278" s="2" t="s">
        <v>1002</v>
      </c>
      <c r="I278" s="3" t="s">
        <v>14</v>
      </c>
      <c r="J278" s="2" t="s">
        <v>1003</v>
      </c>
      <c r="K278" s="4" t="str">
        <f t="shared" si="4"/>
        <v>1Y / 3N</v>
      </c>
      <c r="L278" s="2" t="s">
        <v>38</v>
      </c>
      <c r="M278" s="2" t="s">
        <v>601</v>
      </c>
    </row>
    <row r="279" spans="1:13" ht="98.1" customHeight="1" x14ac:dyDescent="0.2">
      <c r="A279" s="2" t="s">
        <v>1004</v>
      </c>
      <c r="B279" s="3" t="s">
        <v>14</v>
      </c>
      <c r="C279" s="3" t="s">
        <v>14</v>
      </c>
      <c r="D279" s="2" t="s">
        <v>944</v>
      </c>
      <c r="E279" s="3" t="s">
        <v>14</v>
      </c>
      <c r="F279" s="2" t="s">
        <v>1005</v>
      </c>
      <c r="G279" s="3" t="s">
        <v>14</v>
      </c>
      <c r="H279" s="2" t="s">
        <v>136</v>
      </c>
      <c r="I279" s="3" t="s">
        <v>14</v>
      </c>
      <c r="J279" s="2" t="s">
        <v>1006</v>
      </c>
      <c r="K279" s="4" t="str">
        <f t="shared" si="4"/>
        <v>4Y / 0N</v>
      </c>
      <c r="L279" s="2" t="s">
        <v>19</v>
      </c>
      <c r="M279" s="2"/>
    </row>
    <row r="280" spans="1:13" ht="98.1" customHeight="1" x14ac:dyDescent="0.2">
      <c r="A280" s="2" t="s">
        <v>1007</v>
      </c>
      <c r="B280" s="3" t="s">
        <v>24</v>
      </c>
      <c r="C280" s="3" t="s">
        <v>24</v>
      </c>
      <c r="D280" s="2" t="s">
        <v>609</v>
      </c>
      <c r="E280" s="3" t="s">
        <v>24</v>
      </c>
      <c r="F280" s="2" t="s">
        <v>1008</v>
      </c>
      <c r="G280" s="3" t="s">
        <v>24</v>
      </c>
      <c r="H280" s="2" t="s">
        <v>1009</v>
      </c>
      <c r="I280" s="3" t="s">
        <v>24</v>
      </c>
      <c r="J280" s="2" t="s">
        <v>1010</v>
      </c>
      <c r="K280" s="4" t="str">
        <f t="shared" si="4"/>
        <v>0Y / 4N</v>
      </c>
      <c r="L280" s="2" t="s">
        <v>19</v>
      </c>
      <c r="M280" s="2"/>
    </row>
    <row r="281" spans="1:13" ht="98.1" customHeight="1" x14ac:dyDescent="0.2">
      <c r="A281" s="2" t="s">
        <v>1011</v>
      </c>
      <c r="B281" s="3" t="s">
        <v>24</v>
      </c>
      <c r="C281" s="3" t="s">
        <v>24</v>
      </c>
      <c r="D281" s="2" t="s">
        <v>1012</v>
      </c>
      <c r="E281" s="3" t="s">
        <v>24</v>
      </c>
      <c r="F281" s="2" t="s">
        <v>986</v>
      </c>
      <c r="G281" s="3" t="s">
        <v>24</v>
      </c>
      <c r="H281" s="2" t="s">
        <v>1013</v>
      </c>
      <c r="I281" s="3" t="s">
        <v>14</v>
      </c>
      <c r="J281" s="2" t="s">
        <v>1014</v>
      </c>
      <c r="K281" s="4" t="str">
        <f t="shared" si="4"/>
        <v>1Y / 3N</v>
      </c>
      <c r="L281" s="2" t="s">
        <v>38</v>
      </c>
      <c r="M281" s="2" t="s">
        <v>347</v>
      </c>
    </row>
    <row r="282" spans="1:13" ht="98.1" customHeight="1" x14ac:dyDescent="0.2">
      <c r="A282" s="2" t="s">
        <v>1015</v>
      </c>
      <c r="B282" s="3" t="s">
        <v>14</v>
      </c>
      <c r="C282" s="3" t="s">
        <v>14</v>
      </c>
      <c r="D282" s="2" t="s">
        <v>944</v>
      </c>
      <c r="E282" s="3" t="s">
        <v>14</v>
      </c>
      <c r="F282" s="2" t="s">
        <v>883</v>
      </c>
      <c r="G282" s="3" t="s">
        <v>14</v>
      </c>
      <c r="H282" s="2" t="s">
        <v>1016</v>
      </c>
      <c r="I282" s="3" t="s">
        <v>14</v>
      </c>
      <c r="J282" s="2" t="s">
        <v>306</v>
      </c>
      <c r="K282" s="4" t="str">
        <f t="shared" si="4"/>
        <v>4Y / 0N</v>
      </c>
      <c r="L282" s="2" t="s">
        <v>19</v>
      </c>
      <c r="M282" s="2"/>
    </row>
    <row r="283" spans="1:13" ht="98.1" customHeight="1" x14ac:dyDescent="0.2">
      <c r="A283" s="2" t="s">
        <v>1017</v>
      </c>
      <c r="B283" s="3" t="s">
        <v>14</v>
      </c>
      <c r="C283" s="3" t="s">
        <v>14</v>
      </c>
      <c r="D283" s="2" t="s">
        <v>944</v>
      </c>
      <c r="E283" s="3" t="s">
        <v>14</v>
      </c>
      <c r="F283" s="2" t="s">
        <v>1018</v>
      </c>
      <c r="G283" s="3" t="s">
        <v>14</v>
      </c>
      <c r="H283" s="2" t="s">
        <v>1019</v>
      </c>
      <c r="I283" s="3" t="s">
        <v>14</v>
      </c>
      <c r="J283" s="2" t="s">
        <v>306</v>
      </c>
      <c r="K283" s="4" t="str">
        <f t="shared" si="4"/>
        <v>4Y / 0N</v>
      </c>
      <c r="L283" s="2" t="s">
        <v>19</v>
      </c>
      <c r="M283" s="2"/>
    </row>
    <row r="284" spans="1:13" ht="98.1" customHeight="1" x14ac:dyDescent="0.2">
      <c r="A284" s="2" t="s">
        <v>1020</v>
      </c>
      <c r="B284" s="3" t="s">
        <v>14</v>
      </c>
      <c r="C284" s="3" t="s">
        <v>14</v>
      </c>
      <c r="D284" s="2" t="s">
        <v>944</v>
      </c>
      <c r="E284" s="3" t="s">
        <v>14</v>
      </c>
      <c r="F284" s="2" t="s">
        <v>1021</v>
      </c>
      <c r="G284" s="3" t="s">
        <v>14</v>
      </c>
      <c r="H284" s="2" t="s">
        <v>1022</v>
      </c>
      <c r="I284" s="3" t="s">
        <v>14</v>
      </c>
      <c r="J284" s="2" t="s">
        <v>1023</v>
      </c>
      <c r="K284" s="4" t="str">
        <f t="shared" si="4"/>
        <v>4Y / 0N</v>
      </c>
      <c r="L284" s="2" t="s">
        <v>19</v>
      </c>
      <c r="M284" s="2"/>
    </row>
    <row r="285" spans="1:13" ht="98.1" customHeight="1" x14ac:dyDescent="0.2">
      <c r="A285" s="2" t="s">
        <v>1024</v>
      </c>
      <c r="B285" s="3" t="s">
        <v>24</v>
      </c>
      <c r="C285" s="3" t="s">
        <v>24</v>
      </c>
      <c r="D285" s="2" t="s">
        <v>388</v>
      </c>
      <c r="E285" s="3" t="s">
        <v>24</v>
      </c>
      <c r="F285" s="2" t="s">
        <v>240</v>
      </c>
      <c r="G285" s="3" t="s">
        <v>24</v>
      </c>
      <c r="H285" s="2" t="s">
        <v>1025</v>
      </c>
      <c r="I285" s="3" t="s">
        <v>24</v>
      </c>
      <c r="J285" s="2" t="s">
        <v>1026</v>
      </c>
      <c r="K285" s="4" t="str">
        <f t="shared" si="4"/>
        <v>0Y / 4N</v>
      </c>
      <c r="L285" s="2" t="s">
        <v>19</v>
      </c>
      <c r="M285" s="2"/>
    </row>
    <row r="286" spans="1:13" ht="98.1" customHeight="1" x14ac:dyDescent="0.2">
      <c r="A286" s="2" t="s">
        <v>1027</v>
      </c>
      <c r="B286" s="3" t="s">
        <v>14</v>
      </c>
      <c r="C286" s="3" t="s">
        <v>14</v>
      </c>
      <c r="D286" s="2" t="s">
        <v>944</v>
      </c>
      <c r="E286" s="3" t="s">
        <v>14</v>
      </c>
      <c r="F286" s="2" t="s">
        <v>754</v>
      </c>
      <c r="G286" s="3" t="s">
        <v>14</v>
      </c>
      <c r="H286" s="2" t="s">
        <v>1028</v>
      </c>
      <c r="I286" s="3" t="s">
        <v>14</v>
      </c>
      <c r="J286" s="2" t="s">
        <v>1029</v>
      </c>
      <c r="K286" s="4" t="str">
        <f t="shared" si="4"/>
        <v>4Y / 0N</v>
      </c>
      <c r="L286" s="2" t="s">
        <v>19</v>
      </c>
      <c r="M286" s="2"/>
    </row>
    <row r="287" spans="1:13" ht="98.1" customHeight="1" x14ac:dyDescent="0.2">
      <c r="A287" s="2" t="s">
        <v>1030</v>
      </c>
      <c r="B287" s="3" t="s">
        <v>24</v>
      </c>
      <c r="C287" s="3" t="s">
        <v>24</v>
      </c>
      <c r="D287" s="2" t="s">
        <v>388</v>
      </c>
      <c r="E287" s="3" t="s">
        <v>24</v>
      </c>
      <c r="F287" s="2" t="s">
        <v>1031</v>
      </c>
      <c r="G287" s="3" t="s">
        <v>24</v>
      </c>
      <c r="H287" s="2" t="s">
        <v>126</v>
      </c>
      <c r="I287" s="3" t="s">
        <v>24</v>
      </c>
      <c r="J287" s="2" t="s">
        <v>1032</v>
      </c>
      <c r="K287" s="4" t="str">
        <f t="shared" si="4"/>
        <v>0Y / 4N</v>
      </c>
      <c r="L287" s="2" t="s">
        <v>19</v>
      </c>
      <c r="M287" s="2"/>
    </row>
    <row r="288" spans="1:13" ht="98.1" customHeight="1" x14ac:dyDescent="0.2">
      <c r="A288" s="2" t="s">
        <v>1033</v>
      </c>
      <c r="B288" s="3" t="s">
        <v>14</v>
      </c>
      <c r="C288" s="3" t="s">
        <v>14</v>
      </c>
      <c r="D288" s="2" t="s">
        <v>944</v>
      </c>
      <c r="E288" s="3" t="s">
        <v>24</v>
      </c>
      <c r="F288" s="2" t="s">
        <v>1034</v>
      </c>
      <c r="G288" s="3" t="s">
        <v>24</v>
      </c>
      <c r="H288" s="2" t="s">
        <v>1035</v>
      </c>
      <c r="I288" s="3" t="s">
        <v>14</v>
      </c>
      <c r="J288" s="2" t="s">
        <v>1036</v>
      </c>
      <c r="K288" s="4" t="str">
        <f t="shared" si="4"/>
        <v>2Y / 2N</v>
      </c>
      <c r="L288" s="2" t="s">
        <v>38</v>
      </c>
      <c r="M288" s="2" t="s">
        <v>110</v>
      </c>
    </row>
    <row r="289" spans="1:13" ht="98.1" customHeight="1" x14ac:dyDescent="0.2">
      <c r="A289" s="2" t="s">
        <v>1037</v>
      </c>
      <c r="B289" s="3" t="s">
        <v>14</v>
      </c>
      <c r="C289" s="3" t="s">
        <v>14</v>
      </c>
      <c r="D289" s="2" t="s">
        <v>944</v>
      </c>
      <c r="E289" s="3" t="s">
        <v>14</v>
      </c>
      <c r="F289" s="2" t="s">
        <v>754</v>
      </c>
      <c r="G289" s="3" t="s">
        <v>14</v>
      </c>
      <c r="H289" s="2" t="s">
        <v>450</v>
      </c>
      <c r="I289" s="3" t="s">
        <v>24</v>
      </c>
      <c r="J289" s="2" t="s">
        <v>1038</v>
      </c>
      <c r="K289" s="4" t="str">
        <f t="shared" si="4"/>
        <v>3Y / 1N</v>
      </c>
      <c r="L289" s="2" t="s">
        <v>38</v>
      </c>
      <c r="M289" s="2" t="s">
        <v>110</v>
      </c>
    </row>
    <row r="290" spans="1:13" ht="98.1" customHeight="1" x14ac:dyDescent="0.2">
      <c r="A290" s="2" t="s">
        <v>1039</v>
      </c>
      <c r="B290" s="3" t="s">
        <v>24</v>
      </c>
      <c r="C290" s="3" t="s">
        <v>24</v>
      </c>
      <c r="D290" s="2" t="s">
        <v>1040</v>
      </c>
      <c r="E290" s="3" t="s">
        <v>24</v>
      </c>
      <c r="F290" s="2" t="s">
        <v>1041</v>
      </c>
      <c r="G290" s="3" t="s">
        <v>24</v>
      </c>
      <c r="H290" s="2" t="s">
        <v>1042</v>
      </c>
      <c r="I290" s="3" t="s">
        <v>14</v>
      </c>
      <c r="J290" s="2" t="s">
        <v>1043</v>
      </c>
      <c r="K290" s="4" t="str">
        <f t="shared" si="4"/>
        <v>1Y / 3N</v>
      </c>
      <c r="L290" s="2" t="s">
        <v>38</v>
      </c>
      <c r="M290" s="2" t="s">
        <v>347</v>
      </c>
    </row>
    <row r="291" spans="1:13" ht="98.1" customHeight="1" x14ac:dyDescent="0.2">
      <c r="A291" s="2" t="s">
        <v>1044</v>
      </c>
      <c r="B291" s="3" t="s">
        <v>14</v>
      </c>
      <c r="C291" s="3" t="s">
        <v>14</v>
      </c>
      <c r="D291" s="2" t="s">
        <v>944</v>
      </c>
      <c r="E291" s="3" t="s">
        <v>14</v>
      </c>
      <c r="F291" s="2" t="s">
        <v>883</v>
      </c>
      <c r="G291" s="3" t="s">
        <v>14</v>
      </c>
      <c r="H291" s="2" t="s">
        <v>1045</v>
      </c>
      <c r="I291" s="3" t="s">
        <v>14</v>
      </c>
      <c r="J291" s="2" t="s">
        <v>306</v>
      </c>
      <c r="K291" s="4" t="str">
        <f t="shared" si="4"/>
        <v>4Y / 0N</v>
      </c>
      <c r="L291" s="2" t="s">
        <v>19</v>
      </c>
      <c r="M291" s="2"/>
    </row>
    <row r="292" spans="1:13" ht="98.1" customHeight="1" x14ac:dyDescent="0.2">
      <c r="A292" s="2" t="s">
        <v>1046</v>
      </c>
      <c r="B292" s="3" t="s">
        <v>24</v>
      </c>
      <c r="C292" s="3" t="s">
        <v>14</v>
      </c>
      <c r="D292" s="2" t="s">
        <v>944</v>
      </c>
      <c r="E292" s="3" t="s">
        <v>24</v>
      </c>
      <c r="F292" s="2" t="s">
        <v>1047</v>
      </c>
      <c r="G292" s="3" t="s">
        <v>24</v>
      </c>
      <c r="H292" s="2" t="s">
        <v>85</v>
      </c>
      <c r="I292" s="3" t="s">
        <v>24</v>
      </c>
      <c r="J292" s="2" t="s">
        <v>1048</v>
      </c>
      <c r="K292" s="4" t="str">
        <f t="shared" si="4"/>
        <v>1Y / 3N</v>
      </c>
      <c r="L292" s="2" t="s">
        <v>38</v>
      </c>
      <c r="M292" s="2" t="s">
        <v>202</v>
      </c>
    </row>
    <row r="293" spans="1:13" ht="98.1" customHeight="1" x14ac:dyDescent="0.2">
      <c r="A293" s="2" t="s">
        <v>1049</v>
      </c>
      <c r="B293" s="3" t="s">
        <v>14</v>
      </c>
      <c r="C293" s="3" t="s">
        <v>14</v>
      </c>
      <c r="D293" s="2" t="s">
        <v>944</v>
      </c>
      <c r="E293" s="3" t="s">
        <v>14</v>
      </c>
      <c r="F293" s="2" t="s">
        <v>883</v>
      </c>
      <c r="G293" s="3" t="s">
        <v>14</v>
      </c>
      <c r="H293" s="2" t="s">
        <v>99</v>
      </c>
      <c r="I293" s="3" t="s">
        <v>14</v>
      </c>
      <c r="J293" s="2" t="s">
        <v>306</v>
      </c>
      <c r="K293" s="4" t="str">
        <f t="shared" si="4"/>
        <v>4Y / 0N</v>
      </c>
      <c r="L293" s="2" t="s">
        <v>19</v>
      </c>
      <c r="M293" s="2"/>
    </row>
    <row r="294" spans="1:13" ht="98.1" customHeight="1" x14ac:dyDescent="0.2">
      <c r="A294" s="2" t="s">
        <v>1050</v>
      </c>
      <c r="B294" s="3" t="s">
        <v>24</v>
      </c>
      <c r="C294" s="3" t="s">
        <v>14</v>
      </c>
      <c r="D294" s="2" t="s">
        <v>944</v>
      </c>
      <c r="E294" s="3" t="s">
        <v>14</v>
      </c>
      <c r="F294" s="2" t="s">
        <v>883</v>
      </c>
      <c r="G294" s="3" t="s">
        <v>14</v>
      </c>
      <c r="H294" s="2" t="s">
        <v>450</v>
      </c>
      <c r="I294" s="3" t="s">
        <v>24</v>
      </c>
      <c r="J294" s="2" t="s">
        <v>1051</v>
      </c>
      <c r="K294" s="4" t="str">
        <f t="shared" si="4"/>
        <v>3Y / 1N</v>
      </c>
      <c r="L294" s="2" t="s">
        <v>38</v>
      </c>
      <c r="M294" s="2" t="s">
        <v>202</v>
      </c>
    </row>
    <row r="295" spans="1:13" ht="98.1" customHeight="1" x14ac:dyDescent="0.2">
      <c r="A295" s="2" t="s">
        <v>1052</v>
      </c>
      <c r="B295" s="3" t="s">
        <v>24</v>
      </c>
      <c r="C295" s="3" t="s">
        <v>24</v>
      </c>
      <c r="D295" s="2" t="s">
        <v>1053</v>
      </c>
      <c r="E295" s="3" t="s">
        <v>24</v>
      </c>
      <c r="F295" s="2" t="s">
        <v>1054</v>
      </c>
      <c r="G295" s="3" t="s">
        <v>14</v>
      </c>
      <c r="H295" s="2" t="s">
        <v>1055</v>
      </c>
      <c r="I295" s="3" t="s">
        <v>14</v>
      </c>
      <c r="J295" s="2" t="s">
        <v>1056</v>
      </c>
      <c r="K295" s="4" t="str">
        <f t="shared" si="4"/>
        <v>2Y / 2N</v>
      </c>
      <c r="L295" s="2" t="s">
        <v>38</v>
      </c>
      <c r="M295" s="2" t="s">
        <v>66</v>
      </c>
    </row>
    <row r="296" spans="1:13" ht="98.1" customHeight="1" x14ac:dyDescent="0.2">
      <c r="A296" s="2" t="s">
        <v>1057</v>
      </c>
      <c r="B296" s="3" t="s">
        <v>14</v>
      </c>
      <c r="C296" s="3" t="s">
        <v>14</v>
      </c>
      <c r="D296" s="2" t="s">
        <v>1058</v>
      </c>
      <c r="E296" s="3" t="s">
        <v>14</v>
      </c>
      <c r="F296" s="2" t="s">
        <v>1059</v>
      </c>
      <c r="G296" s="3" t="s">
        <v>14</v>
      </c>
      <c r="H296" s="2" t="s">
        <v>1060</v>
      </c>
      <c r="I296" s="3" t="s">
        <v>14</v>
      </c>
      <c r="J296" s="2" t="s">
        <v>1061</v>
      </c>
      <c r="K296" s="4" t="str">
        <f t="shared" si="4"/>
        <v>4Y / 0N</v>
      </c>
      <c r="L296" s="2" t="s">
        <v>19</v>
      </c>
      <c r="M296" s="2"/>
    </row>
    <row r="297" spans="1:13" ht="98.1" customHeight="1" x14ac:dyDescent="0.2">
      <c r="A297" s="2" t="s">
        <v>1062</v>
      </c>
      <c r="B297" s="3" t="s">
        <v>24</v>
      </c>
      <c r="C297" s="3" t="s">
        <v>24</v>
      </c>
      <c r="D297" s="2" t="s">
        <v>388</v>
      </c>
      <c r="E297" s="3" t="s">
        <v>24</v>
      </c>
      <c r="F297" s="2" t="s">
        <v>1063</v>
      </c>
      <c r="G297" s="3" t="s">
        <v>24</v>
      </c>
      <c r="H297" s="2" t="s">
        <v>1064</v>
      </c>
      <c r="I297" s="3" t="s">
        <v>24</v>
      </c>
      <c r="J297" s="2" t="s">
        <v>1065</v>
      </c>
      <c r="K297" s="4" t="str">
        <f t="shared" si="4"/>
        <v>0Y / 4N</v>
      </c>
      <c r="L297" s="2" t="s">
        <v>19</v>
      </c>
      <c r="M297" s="2"/>
    </row>
    <row r="298" spans="1:13" ht="98.1" customHeight="1" x14ac:dyDescent="0.2">
      <c r="A298" s="2" t="s">
        <v>1066</v>
      </c>
      <c r="B298" s="3" t="s">
        <v>24</v>
      </c>
      <c r="C298" s="3" t="s">
        <v>24</v>
      </c>
      <c r="D298" s="2" t="s">
        <v>388</v>
      </c>
      <c r="E298" s="3" t="s">
        <v>24</v>
      </c>
      <c r="F298" s="2" t="s">
        <v>1067</v>
      </c>
      <c r="G298" s="3" t="s">
        <v>24</v>
      </c>
      <c r="H298" s="2" t="s">
        <v>1068</v>
      </c>
      <c r="I298" s="3" t="s">
        <v>24</v>
      </c>
      <c r="J298" s="2" t="s">
        <v>1069</v>
      </c>
      <c r="K298" s="4" t="str">
        <f t="shared" si="4"/>
        <v>0Y / 4N</v>
      </c>
      <c r="L298" s="2" t="s">
        <v>19</v>
      </c>
      <c r="M298" s="2"/>
    </row>
    <row r="299" spans="1:13" ht="98.1" customHeight="1" x14ac:dyDescent="0.2">
      <c r="A299" s="2" t="s">
        <v>1070</v>
      </c>
      <c r="B299" s="3" t="s">
        <v>14</v>
      </c>
      <c r="C299" s="3" t="s">
        <v>14</v>
      </c>
      <c r="D299" s="2" t="s">
        <v>944</v>
      </c>
      <c r="E299" s="3" t="s">
        <v>14</v>
      </c>
      <c r="F299" s="2" t="s">
        <v>382</v>
      </c>
      <c r="G299" s="3" t="s">
        <v>14</v>
      </c>
      <c r="H299" s="2" t="s">
        <v>1071</v>
      </c>
      <c r="I299" s="3" t="s">
        <v>14</v>
      </c>
      <c r="J299" s="2" t="s">
        <v>1072</v>
      </c>
      <c r="K299" s="4" t="str">
        <f t="shared" si="4"/>
        <v>4Y / 0N</v>
      </c>
      <c r="L299" s="2" t="s">
        <v>19</v>
      </c>
      <c r="M299" s="2"/>
    </row>
    <row r="300" spans="1:13" ht="98.1" customHeight="1" x14ac:dyDescent="0.2">
      <c r="A300" s="2" t="s">
        <v>1073</v>
      </c>
      <c r="B300" s="3" t="s">
        <v>14</v>
      </c>
      <c r="C300" s="3" t="s">
        <v>14</v>
      </c>
      <c r="D300" s="2" t="s">
        <v>944</v>
      </c>
      <c r="E300" s="3" t="s">
        <v>14</v>
      </c>
      <c r="F300" s="2" t="s">
        <v>382</v>
      </c>
      <c r="G300" s="3" t="s">
        <v>14</v>
      </c>
      <c r="H300" s="2" t="s">
        <v>1074</v>
      </c>
      <c r="I300" s="3" t="s">
        <v>14</v>
      </c>
      <c r="J300" s="2" t="s">
        <v>306</v>
      </c>
      <c r="K300" s="4" t="str">
        <f t="shared" si="4"/>
        <v>4Y / 0N</v>
      </c>
      <c r="L300" s="2" t="s">
        <v>19</v>
      </c>
      <c r="M300" s="2"/>
    </row>
    <row r="301" spans="1:13" ht="98.1" customHeight="1" x14ac:dyDescent="0.2">
      <c r="A301" s="2" t="s">
        <v>1075</v>
      </c>
      <c r="B301" s="3" t="s">
        <v>24</v>
      </c>
      <c r="C301" s="3" t="s">
        <v>24</v>
      </c>
      <c r="D301" s="2" t="s">
        <v>388</v>
      </c>
      <c r="E301" s="3" t="s">
        <v>24</v>
      </c>
      <c r="F301" s="2" t="s">
        <v>862</v>
      </c>
      <c r="G301" s="3" t="s">
        <v>24</v>
      </c>
      <c r="H301" s="2" t="s">
        <v>85</v>
      </c>
      <c r="I301" s="3" t="s">
        <v>24</v>
      </c>
      <c r="J301" s="2" t="s">
        <v>1076</v>
      </c>
      <c r="K301" s="4" t="str">
        <f t="shared" si="4"/>
        <v>0Y / 4N</v>
      </c>
      <c r="L301" s="2" t="s">
        <v>19</v>
      </c>
      <c r="M301" s="2"/>
    </row>
    <row r="302" spans="1:13" ht="98.1" customHeight="1" x14ac:dyDescent="0.2">
      <c r="A302" s="2" t="s">
        <v>1077</v>
      </c>
      <c r="B302" s="3" t="s">
        <v>24</v>
      </c>
      <c r="C302" s="3" t="s">
        <v>24</v>
      </c>
      <c r="D302" s="2" t="s">
        <v>1078</v>
      </c>
      <c r="E302" s="3" t="s">
        <v>24</v>
      </c>
      <c r="F302" s="2" t="s">
        <v>850</v>
      </c>
      <c r="G302" s="3" t="s">
        <v>14</v>
      </c>
      <c r="H302" s="2" t="s">
        <v>1079</v>
      </c>
      <c r="I302" s="3" t="s">
        <v>14</v>
      </c>
      <c r="J302" s="2" t="s">
        <v>1080</v>
      </c>
      <c r="K302" s="4" t="str">
        <f t="shared" si="4"/>
        <v>2Y / 2N</v>
      </c>
      <c r="L302" s="2" t="s">
        <v>38</v>
      </c>
      <c r="M302" s="2" t="s">
        <v>347</v>
      </c>
    </row>
    <row r="303" spans="1:13" ht="98.1" customHeight="1" x14ac:dyDescent="0.2">
      <c r="A303" s="2" t="s">
        <v>1081</v>
      </c>
      <c r="B303" s="3" t="s">
        <v>14</v>
      </c>
      <c r="C303" s="3" t="s">
        <v>14</v>
      </c>
      <c r="D303" s="2" t="s">
        <v>944</v>
      </c>
      <c r="E303" s="3" t="s">
        <v>14</v>
      </c>
      <c r="F303" s="2" t="s">
        <v>883</v>
      </c>
      <c r="G303" s="3" t="s">
        <v>14</v>
      </c>
      <c r="H303" s="2" t="s">
        <v>1082</v>
      </c>
      <c r="I303" s="3" t="s">
        <v>14</v>
      </c>
      <c r="J303" s="2" t="s">
        <v>1083</v>
      </c>
      <c r="K303" s="4" t="str">
        <f t="shared" si="4"/>
        <v>4Y / 0N</v>
      </c>
      <c r="L303" s="2" t="s">
        <v>19</v>
      </c>
      <c r="M303" s="2"/>
    </row>
    <row r="304" spans="1:13" ht="98.1" customHeight="1" x14ac:dyDescent="0.2">
      <c r="A304" s="2" t="s">
        <v>1084</v>
      </c>
      <c r="B304" s="3" t="s">
        <v>24</v>
      </c>
      <c r="C304" s="3" t="s">
        <v>24</v>
      </c>
      <c r="D304" s="2" t="s">
        <v>1085</v>
      </c>
      <c r="E304" s="3" t="s">
        <v>24</v>
      </c>
      <c r="F304" s="2" t="s">
        <v>1086</v>
      </c>
      <c r="G304" s="3" t="s">
        <v>24</v>
      </c>
      <c r="H304" s="2" t="s">
        <v>1087</v>
      </c>
      <c r="I304" s="3" t="s">
        <v>24</v>
      </c>
      <c r="J304" s="2" t="s">
        <v>1088</v>
      </c>
      <c r="K304" s="4" t="str">
        <f t="shared" si="4"/>
        <v>0Y / 4N</v>
      </c>
      <c r="L304" s="2" t="s">
        <v>19</v>
      </c>
      <c r="M304" s="2"/>
    </row>
    <row r="305" spans="1:13" ht="98.1" customHeight="1" x14ac:dyDescent="0.2">
      <c r="A305" s="2" t="s">
        <v>1089</v>
      </c>
      <c r="B305" s="3" t="s">
        <v>14</v>
      </c>
      <c r="C305" s="3" t="s">
        <v>14</v>
      </c>
      <c r="D305" s="2" t="s">
        <v>944</v>
      </c>
      <c r="E305" s="3" t="s">
        <v>14</v>
      </c>
      <c r="F305" s="2" t="s">
        <v>883</v>
      </c>
      <c r="G305" s="3" t="s">
        <v>14</v>
      </c>
      <c r="H305" s="2" t="s">
        <v>1090</v>
      </c>
      <c r="I305" s="3" t="s">
        <v>14</v>
      </c>
      <c r="J305" s="2" t="s">
        <v>306</v>
      </c>
      <c r="K305" s="4" t="str">
        <f t="shared" si="4"/>
        <v>4Y / 0N</v>
      </c>
      <c r="L305" s="2" t="s">
        <v>19</v>
      </c>
      <c r="M305" s="2"/>
    </row>
    <row r="306" spans="1:13" ht="98.1" customHeight="1" x14ac:dyDescent="0.2">
      <c r="A306" s="2" t="s">
        <v>1091</v>
      </c>
      <c r="B306" s="3" t="s">
        <v>14</v>
      </c>
      <c r="C306" s="3" t="s">
        <v>14</v>
      </c>
      <c r="D306" s="2" t="s">
        <v>944</v>
      </c>
      <c r="E306" s="3" t="s">
        <v>14</v>
      </c>
      <c r="F306" s="2" t="s">
        <v>883</v>
      </c>
      <c r="G306" s="3" t="s">
        <v>14</v>
      </c>
      <c r="H306" s="2" t="s">
        <v>260</v>
      </c>
      <c r="I306" s="3" t="s">
        <v>14</v>
      </c>
      <c r="J306" s="2" t="s">
        <v>1092</v>
      </c>
      <c r="K306" s="4" t="str">
        <f t="shared" si="4"/>
        <v>4Y / 0N</v>
      </c>
      <c r="L306" s="2" t="s">
        <v>19</v>
      </c>
      <c r="M306" s="2"/>
    </row>
    <row r="307" spans="1:13" ht="98.1" customHeight="1" x14ac:dyDescent="0.2">
      <c r="A307" s="2" t="s">
        <v>1093</v>
      </c>
      <c r="B307" s="3" t="s">
        <v>24</v>
      </c>
      <c r="C307" s="3" t="s">
        <v>14</v>
      </c>
      <c r="D307" s="2" t="s">
        <v>944</v>
      </c>
      <c r="E307" s="3" t="s">
        <v>14</v>
      </c>
      <c r="F307" s="2" t="s">
        <v>883</v>
      </c>
      <c r="G307" s="3" t="s">
        <v>14</v>
      </c>
      <c r="H307" s="2" t="s">
        <v>1094</v>
      </c>
      <c r="I307" s="3" t="s">
        <v>24</v>
      </c>
      <c r="J307" s="2" t="s">
        <v>1095</v>
      </c>
      <c r="K307" s="4" t="str">
        <f t="shared" si="4"/>
        <v>3Y / 1N</v>
      </c>
      <c r="L307" s="2" t="s">
        <v>38</v>
      </c>
      <c r="M307" s="2" t="s">
        <v>202</v>
      </c>
    </row>
    <row r="308" spans="1:13" ht="98.1" customHeight="1" x14ac:dyDescent="0.2">
      <c r="A308" s="2" t="s">
        <v>1096</v>
      </c>
      <c r="B308" s="3" t="s">
        <v>14</v>
      </c>
      <c r="C308" s="3" t="s">
        <v>14</v>
      </c>
      <c r="D308" s="2" t="s">
        <v>944</v>
      </c>
      <c r="E308" s="3" t="s">
        <v>14</v>
      </c>
      <c r="F308" s="2" t="s">
        <v>883</v>
      </c>
      <c r="G308" s="3" t="s">
        <v>14</v>
      </c>
      <c r="H308" s="2" t="s">
        <v>1097</v>
      </c>
      <c r="I308" s="3" t="s">
        <v>14</v>
      </c>
      <c r="J308" s="2" t="s">
        <v>600</v>
      </c>
      <c r="K308" s="4" t="str">
        <f t="shared" si="4"/>
        <v>4Y / 0N</v>
      </c>
      <c r="L308" s="2" t="s">
        <v>19</v>
      </c>
      <c r="M308" s="2"/>
    </row>
    <row r="309" spans="1:13" ht="98.1" customHeight="1" x14ac:dyDescent="0.2">
      <c r="A309" s="2" t="s">
        <v>1098</v>
      </c>
      <c r="B309" s="3" t="s">
        <v>14</v>
      </c>
      <c r="C309" s="3" t="s">
        <v>14</v>
      </c>
      <c r="D309" s="2" t="s">
        <v>944</v>
      </c>
      <c r="E309" s="3" t="s">
        <v>14</v>
      </c>
      <c r="F309" s="2" t="s">
        <v>883</v>
      </c>
      <c r="G309" s="3" t="s">
        <v>14</v>
      </c>
      <c r="H309" s="2" t="s">
        <v>1099</v>
      </c>
      <c r="I309" s="3" t="s">
        <v>14</v>
      </c>
      <c r="J309" s="2" t="s">
        <v>1100</v>
      </c>
      <c r="K309" s="4" t="str">
        <f t="shared" si="4"/>
        <v>4Y / 0N</v>
      </c>
      <c r="L309" s="2" t="s">
        <v>19</v>
      </c>
      <c r="M309" s="2"/>
    </row>
    <row r="310" spans="1:13" ht="98.1" customHeight="1" x14ac:dyDescent="0.2">
      <c r="A310" s="2" t="s">
        <v>1101</v>
      </c>
      <c r="B310" s="3" t="s">
        <v>14</v>
      </c>
      <c r="C310" s="3" t="s">
        <v>14</v>
      </c>
      <c r="D310" s="2" t="s">
        <v>944</v>
      </c>
      <c r="E310" s="3" t="s">
        <v>14</v>
      </c>
      <c r="F310" s="2" t="s">
        <v>883</v>
      </c>
      <c r="G310" s="3" t="s">
        <v>14</v>
      </c>
      <c r="H310" s="2" t="s">
        <v>1102</v>
      </c>
      <c r="I310" s="3" t="s">
        <v>14</v>
      </c>
      <c r="J310" s="2" t="s">
        <v>1103</v>
      </c>
      <c r="K310" s="4" t="str">
        <f t="shared" si="4"/>
        <v>4Y / 0N</v>
      </c>
      <c r="L310" s="2" t="s">
        <v>19</v>
      </c>
      <c r="M310" s="2"/>
    </row>
    <row r="311" spans="1:13" ht="98.1" customHeight="1" x14ac:dyDescent="0.2">
      <c r="A311" s="2" t="s">
        <v>1104</v>
      </c>
      <c r="B311" s="3" t="s">
        <v>14</v>
      </c>
      <c r="C311" s="3" t="s">
        <v>14</v>
      </c>
      <c r="D311" s="2" t="s">
        <v>944</v>
      </c>
      <c r="E311" s="3" t="s">
        <v>14</v>
      </c>
      <c r="F311" s="2" t="s">
        <v>883</v>
      </c>
      <c r="G311" s="3" t="s">
        <v>14</v>
      </c>
      <c r="H311" s="2" t="s">
        <v>1105</v>
      </c>
      <c r="I311" s="3" t="s">
        <v>14</v>
      </c>
      <c r="J311" s="2" t="s">
        <v>1106</v>
      </c>
      <c r="K311" s="4" t="str">
        <f t="shared" si="4"/>
        <v>4Y / 0N</v>
      </c>
      <c r="L311" s="2" t="s">
        <v>19</v>
      </c>
      <c r="M311" s="2"/>
    </row>
    <row r="312" spans="1:13" ht="98.1" customHeight="1" x14ac:dyDescent="0.2">
      <c r="A312" s="2" t="s">
        <v>1107</v>
      </c>
      <c r="B312" s="3" t="s">
        <v>24</v>
      </c>
      <c r="C312" s="3" t="s">
        <v>14</v>
      </c>
      <c r="D312" s="2" t="s">
        <v>944</v>
      </c>
      <c r="E312" s="3" t="s">
        <v>14</v>
      </c>
      <c r="F312" s="2" t="s">
        <v>883</v>
      </c>
      <c r="G312" s="3" t="s">
        <v>14</v>
      </c>
      <c r="H312" s="2" t="s">
        <v>799</v>
      </c>
      <c r="I312" s="3" t="s">
        <v>24</v>
      </c>
      <c r="J312" s="2" t="s">
        <v>1108</v>
      </c>
      <c r="K312" s="4" t="str">
        <f t="shared" si="4"/>
        <v>3Y / 1N</v>
      </c>
      <c r="L312" s="2" t="s">
        <v>38</v>
      </c>
      <c r="M312" s="2" t="s">
        <v>202</v>
      </c>
    </row>
    <row r="313" spans="1:13" ht="98.1" customHeight="1" x14ac:dyDescent="0.2">
      <c r="A313" s="2" t="s">
        <v>1109</v>
      </c>
      <c r="B313" s="3" t="s">
        <v>14</v>
      </c>
      <c r="C313" s="3" t="s">
        <v>14</v>
      </c>
      <c r="D313" s="2" t="s">
        <v>944</v>
      </c>
      <c r="E313" s="3" t="s">
        <v>24</v>
      </c>
      <c r="F313" s="2" t="s">
        <v>1110</v>
      </c>
      <c r="G313" s="3" t="s">
        <v>14</v>
      </c>
      <c r="H313" s="2" t="s">
        <v>1111</v>
      </c>
      <c r="I313" s="3" t="s">
        <v>14</v>
      </c>
      <c r="J313" s="2" t="s">
        <v>1112</v>
      </c>
      <c r="K313" s="4" t="str">
        <f t="shared" si="4"/>
        <v>3Y / 1N</v>
      </c>
      <c r="L313" s="2" t="s">
        <v>38</v>
      </c>
      <c r="M313" s="2" t="s">
        <v>104</v>
      </c>
    </row>
    <row r="314" spans="1:13" ht="98.1" customHeight="1" x14ac:dyDescent="0.2">
      <c r="A314" s="2" t="s">
        <v>1113</v>
      </c>
      <c r="B314" s="3" t="s">
        <v>24</v>
      </c>
      <c r="C314" s="3" t="s">
        <v>14</v>
      </c>
      <c r="D314" s="2" t="s">
        <v>944</v>
      </c>
      <c r="E314" s="3" t="s">
        <v>14</v>
      </c>
      <c r="F314" s="2" t="s">
        <v>1114</v>
      </c>
      <c r="G314" s="3" t="s">
        <v>14</v>
      </c>
      <c r="H314" s="2" t="s">
        <v>799</v>
      </c>
      <c r="I314" s="3" t="s">
        <v>24</v>
      </c>
      <c r="J314" s="2" t="s">
        <v>1115</v>
      </c>
      <c r="K314" s="4" t="str">
        <f t="shared" si="4"/>
        <v>3Y / 1N</v>
      </c>
      <c r="L314" s="2" t="s">
        <v>38</v>
      </c>
      <c r="M314" s="2" t="s">
        <v>202</v>
      </c>
    </row>
    <row r="315" spans="1:13" ht="98.1" customHeight="1" x14ac:dyDescent="0.2">
      <c r="A315" s="2" t="s">
        <v>1116</v>
      </c>
      <c r="B315" s="3" t="s">
        <v>14</v>
      </c>
      <c r="C315" s="3" t="s">
        <v>14</v>
      </c>
      <c r="D315" s="2" t="s">
        <v>944</v>
      </c>
      <c r="E315" s="3" t="s">
        <v>14</v>
      </c>
      <c r="F315" s="2" t="s">
        <v>1117</v>
      </c>
      <c r="G315" s="3" t="s">
        <v>14</v>
      </c>
      <c r="H315" s="2" t="s">
        <v>1118</v>
      </c>
      <c r="I315" s="3" t="s">
        <v>14</v>
      </c>
      <c r="J315" s="2" t="s">
        <v>306</v>
      </c>
      <c r="K315" s="4" t="str">
        <f t="shared" si="4"/>
        <v>4Y / 0N</v>
      </c>
      <c r="L315" s="2" t="s">
        <v>19</v>
      </c>
      <c r="M315" s="2"/>
    </row>
    <row r="316" spans="1:13" ht="98.1" customHeight="1" x14ac:dyDescent="0.2">
      <c r="A316" s="2" t="s">
        <v>1119</v>
      </c>
      <c r="B316" s="3" t="s">
        <v>24</v>
      </c>
      <c r="C316" s="3" t="s">
        <v>14</v>
      </c>
      <c r="D316" s="2" t="s">
        <v>944</v>
      </c>
      <c r="E316" s="3" t="s">
        <v>14</v>
      </c>
      <c r="F316" s="2" t="s">
        <v>1117</v>
      </c>
      <c r="G316" s="3" t="s">
        <v>14</v>
      </c>
      <c r="H316" s="2" t="s">
        <v>799</v>
      </c>
      <c r="I316" s="3" t="s">
        <v>24</v>
      </c>
      <c r="J316" s="2" t="s">
        <v>1120</v>
      </c>
      <c r="K316" s="4" t="str">
        <f t="shared" si="4"/>
        <v>3Y / 1N</v>
      </c>
      <c r="L316" s="2" t="s">
        <v>38</v>
      </c>
      <c r="M316" s="2" t="s">
        <v>202</v>
      </c>
    </row>
    <row r="317" spans="1:13" ht="98.1" customHeight="1" x14ac:dyDescent="0.2">
      <c r="A317" s="2" t="s">
        <v>1121</v>
      </c>
      <c r="B317" s="3" t="s">
        <v>14</v>
      </c>
      <c r="C317" s="3" t="s">
        <v>14</v>
      </c>
      <c r="D317" s="2" t="s">
        <v>944</v>
      </c>
      <c r="E317" s="3" t="s">
        <v>14</v>
      </c>
      <c r="F317" s="2" t="s">
        <v>1117</v>
      </c>
      <c r="G317" s="3" t="s">
        <v>14</v>
      </c>
      <c r="H317" s="2" t="s">
        <v>1122</v>
      </c>
      <c r="I317" s="3" t="s">
        <v>14</v>
      </c>
      <c r="J317" s="2" t="s">
        <v>1123</v>
      </c>
      <c r="K317" s="4" t="str">
        <f t="shared" si="4"/>
        <v>4Y / 0N</v>
      </c>
      <c r="L317" s="2" t="s">
        <v>19</v>
      </c>
      <c r="M317" s="2"/>
    </row>
    <row r="318" spans="1:13" ht="98.1" customHeight="1" x14ac:dyDescent="0.2">
      <c r="A318" s="2" t="s">
        <v>1124</v>
      </c>
      <c r="B318" s="3" t="s">
        <v>14</v>
      </c>
      <c r="C318" s="3" t="s">
        <v>14</v>
      </c>
      <c r="D318" s="2" t="s">
        <v>944</v>
      </c>
      <c r="E318" s="3" t="s">
        <v>14</v>
      </c>
      <c r="F318" s="2" t="s">
        <v>1117</v>
      </c>
      <c r="G318" s="3" t="s">
        <v>14</v>
      </c>
      <c r="H318" s="2" t="s">
        <v>1090</v>
      </c>
      <c r="I318" s="3" t="s">
        <v>14</v>
      </c>
      <c r="J318" s="2" t="s">
        <v>600</v>
      </c>
      <c r="K318" s="4" t="str">
        <f t="shared" si="4"/>
        <v>4Y / 0N</v>
      </c>
      <c r="L318" s="2" t="s">
        <v>19</v>
      </c>
      <c r="M318" s="2"/>
    </row>
    <row r="319" spans="1:13" ht="98.1" customHeight="1" x14ac:dyDescent="0.2">
      <c r="A319" s="2" t="s">
        <v>1125</v>
      </c>
      <c r="B319" s="3" t="s">
        <v>24</v>
      </c>
      <c r="C319" s="3" t="s">
        <v>24</v>
      </c>
      <c r="D319" s="2" t="s">
        <v>1126</v>
      </c>
      <c r="E319" s="3" t="s">
        <v>24</v>
      </c>
      <c r="F319" s="2" t="s">
        <v>1127</v>
      </c>
      <c r="G319" s="3" t="s">
        <v>24</v>
      </c>
      <c r="H319" s="2" t="s">
        <v>523</v>
      </c>
      <c r="I319" s="3" t="s">
        <v>24</v>
      </c>
      <c r="J319" s="2" t="s">
        <v>1128</v>
      </c>
      <c r="K319" s="4" t="str">
        <f t="shared" si="4"/>
        <v>0Y / 4N</v>
      </c>
      <c r="L319" s="2" t="s">
        <v>19</v>
      </c>
      <c r="M319" s="2"/>
    </row>
    <row r="320" spans="1:13" ht="98.1" customHeight="1" x14ac:dyDescent="0.2">
      <c r="A320" s="2" t="s">
        <v>1129</v>
      </c>
      <c r="B320" s="3" t="s">
        <v>14</v>
      </c>
      <c r="C320" s="3" t="s">
        <v>14</v>
      </c>
      <c r="D320" s="2" t="s">
        <v>944</v>
      </c>
      <c r="E320" s="3" t="s">
        <v>14</v>
      </c>
      <c r="F320" s="2" t="s">
        <v>1117</v>
      </c>
      <c r="G320" s="3" t="s">
        <v>14</v>
      </c>
      <c r="H320" s="2" t="s">
        <v>1130</v>
      </c>
      <c r="I320" s="3" t="s">
        <v>14</v>
      </c>
      <c r="J320" s="2" t="s">
        <v>1131</v>
      </c>
      <c r="K320" s="4" t="str">
        <f t="shared" si="4"/>
        <v>4Y / 0N</v>
      </c>
      <c r="L320" s="2" t="s">
        <v>19</v>
      </c>
      <c r="M320" s="2"/>
    </row>
    <row r="321" spans="1:13" ht="98.1" customHeight="1" x14ac:dyDescent="0.2">
      <c r="A321" s="2" t="s">
        <v>1132</v>
      </c>
      <c r="B321" s="3" t="s">
        <v>24</v>
      </c>
      <c r="C321" s="3" t="s">
        <v>14</v>
      </c>
      <c r="D321" s="2" t="s">
        <v>1133</v>
      </c>
      <c r="E321" s="3" t="s">
        <v>24</v>
      </c>
      <c r="F321" s="2" t="s">
        <v>1134</v>
      </c>
      <c r="G321" s="3" t="s">
        <v>24</v>
      </c>
      <c r="H321" s="2" t="s">
        <v>1135</v>
      </c>
      <c r="I321" s="3" t="s">
        <v>24</v>
      </c>
      <c r="J321" s="2" t="s">
        <v>1136</v>
      </c>
      <c r="K321" s="4" t="str">
        <f t="shared" si="4"/>
        <v>1Y / 3N</v>
      </c>
      <c r="L321" s="2" t="s">
        <v>151</v>
      </c>
      <c r="M321" s="2" t="s">
        <v>1137</v>
      </c>
    </row>
    <row r="322" spans="1:13" ht="98.1" customHeight="1" x14ac:dyDescent="0.2">
      <c r="A322" s="2" t="s">
        <v>1138</v>
      </c>
      <c r="B322" s="3" t="s">
        <v>24</v>
      </c>
      <c r="C322" s="3" t="s">
        <v>24</v>
      </c>
      <c r="D322" s="2" t="s">
        <v>388</v>
      </c>
      <c r="E322" s="3" t="s">
        <v>24</v>
      </c>
      <c r="F322" s="2" t="s">
        <v>1134</v>
      </c>
      <c r="G322" s="3" t="s">
        <v>24</v>
      </c>
      <c r="H322" s="2" t="s">
        <v>738</v>
      </c>
      <c r="I322" s="3" t="s">
        <v>24</v>
      </c>
      <c r="J322" s="2" t="s">
        <v>1139</v>
      </c>
      <c r="K322" s="4" t="str">
        <f t="shared" ref="K322:K385" si="5">(COUNTIF(C322,"Y")+COUNTIF(E322,"Y")+COUNTIF(G322,"Y")+COUNTIF(I322,"Y"))&amp;"Y / "&amp;(COUNTIF(C322,"N")+COUNTIF(E322,"N")+COUNTIF(G322,"N")+COUNTIF(I322,"N"))&amp;"N"&amp;IF(4-(COUNTIF(C322,"Y")+COUNTIF(E322,"Y")+COUNTIF(G322,"Y")+COUNTIF(I322,"Y"))-(COUNTIF(C322,"N")+COUNTIF(E322,"N")+COUNTIF(G322,"N")+COUNTIF(I322,"N"))&gt;0," / "&amp;(4-(COUNTIF(C322,"Y")+COUNTIF(E322,"Y")+COUNTIF(G322,"Y")+COUNTIF(I322,"Y"))-(COUNTIF(C322,"N")+COUNTIF(E322,"N")+COUNTIF(G322,"N")+COUNTIF(I322,"N")))&amp;" ambiguous","")</f>
        <v>0Y / 4N</v>
      </c>
      <c r="L322" s="2" t="s">
        <v>19</v>
      </c>
      <c r="M322" s="2"/>
    </row>
    <row r="323" spans="1:13" ht="98.1" customHeight="1" x14ac:dyDescent="0.2">
      <c r="A323" s="2" t="s">
        <v>1140</v>
      </c>
      <c r="B323" s="3" t="s">
        <v>24</v>
      </c>
      <c r="C323" s="3" t="s">
        <v>14</v>
      </c>
      <c r="D323" s="2" t="s">
        <v>1141</v>
      </c>
      <c r="E323" s="3" t="s">
        <v>14</v>
      </c>
      <c r="F323" s="2" t="s">
        <v>1117</v>
      </c>
      <c r="G323" s="3" t="s">
        <v>14</v>
      </c>
      <c r="H323" s="2" t="s">
        <v>799</v>
      </c>
      <c r="I323" s="3" t="s">
        <v>24</v>
      </c>
      <c r="J323" s="2" t="s">
        <v>1142</v>
      </c>
      <c r="K323" s="4" t="str">
        <f t="shared" si="5"/>
        <v>3Y / 1N</v>
      </c>
      <c r="L323" s="2" t="s">
        <v>38</v>
      </c>
      <c r="M323" s="2" t="s">
        <v>202</v>
      </c>
    </row>
    <row r="324" spans="1:13" ht="98.1" customHeight="1" x14ac:dyDescent="0.2">
      <c r="A324" s="2" t="s">
        <v>1143</v>
      </c>
      <c r="B324" s="3" t="s">
        <v>14</v>
      </c>
      <c r="C324" s="3" t="s">
        <v>14</v>
      </c>
      <c r="D324" s="2" t="s">
        <v>944</v>
      </c>
      <c r="E324" s="3" t="s">
        <v>14</v>
      </c>
      <c r="F324" s="2" t="s">
        <v>1117</v>
      </c>
      <c r="G324" s="3" t="s">
        <v>14</v>
      </c>
      <c r="H324" s="2" t="s">
        <v>1144</v>
      </c>
      <c r="I324" s="3" t="s">
        <v>14</v>
      </c>
      <c r="J324" s="2" t="s">
        <v>1145</v>
      </c>
      <c r="K324" s="4" t="str">
        <f t="shared" si="5"/>
        <v>4Y / 0N</v>
      </c>
      <c r="L324" s="2" t="s">
        <v>19</v>
      </c>
      <c r="M324" s="2"/>
    </row>
    <row r="325" spans="1:13" ht="98.1" customHeight="1" x14ac:dyDescent="0.2">
      <c r="A325" s="2" t="s">
        <v>1146</v>
      </c>
      <c r="B325" s="3" t="s">
        <v>14</v>
      </c>
      <c r="C325" s="3" t="s">
        <v>14</v>
      </c>
      <c r="D325" s="2" t="s">
        <v>944</v>
      </c>
      <c r="E325" s="3" t="s">
        <v>14</v>
      </c>
      <c r="F325" s="2" t="s">
        <v>1117</v>
      </c>
      <c r="G325" s="3" t="s">
        <v>14</v>
      </c>
      <c r="H325" s="2" t="s">
        <v>1147</v>
      </c>
      <c r="I325" s="3" t="s">
        <v>14</v>
      </c>
      <c r="J325" s="2" t="s">
        <v>1148</v>
      </c>
      <c r="K325" s="4" t="str">
        <f t="shared" si="5"/>
        <v>4Y / 0N</v>
      </c>
      <c r="L325" s="2" t="s">
        <v>19</v>
      </c>
      <c r="M325" s="2"/>
    </row>
    <row r="326" spans="1:13" ht="98.1" customHeight="1" x14ac:dyDescent="0.2">
      <c r="A326" s="2" t="s">
        <v>1149</v>
      </c>
      <c r="B326" s="3" t="s">
        <v>14</v>
      </c>
      <c r="C326" s="3" t="s">
        <v>14</v>
      </c>
      <c r="D326" s="2" t="s">
        <v>944</v>
      </c>
      <c r="E326" s="3" t="s">
        <v>14</v>
      </c>
      <c r="F326" s="2" t="s">
        <v>1117</v>
      </c>
      <c r="G326" s="3" t="s">
        <v>24</v>
      </c>
      <c r="H326" s="2" t="s">
        <v>1150</v>
      </c>
      <c r="I326" s="3" t="s">
        <v>14</v>
      </c>
      <c r="J326" s="2" t="s">
        <v>904</v>
      </c>
      <c r="K326" s="4" t="str">
        <f t="shared" si="5"/>
        <v>3Y / 1N</v>
      </c>
      <c r="L326" s="2" t="s">
        <v>38</v>
      </c>
      <c r="M326" s="2" t="s">
        <v>110</v>
      </c>
    </row>
    <row r="327" spans="1:13" ht="98.1" customHeight="1" x14ac:dyDescent="0.2">
      <c r="A327" s="2" t="s">
        <v>1151</v>
      </c>
      <c r="B327" s="3" t="s">
        <v>14</v>
      </c>
      <c r="C327" s="3" t="s">
        <v>14</v>
      </c>
      <c r="D327" s="2" t="s">
        <v>1152</v>
      </c>
      <c r="E327" s="3" t="s">
        <v>14</v>
      </c>
      <c r="F327" s="2" t="s">
        <v>1117</v>
      </c>
      <c r="G327" s="3" t="s">
        <v>14</v>
      </c>
      <c r="H327" s="2" t="s">
        <v>1153</v>
      </c>
      <c r="I327" s="3" t="s">
        <v>14</v>
      </c>
      <c r="J327" s="2" t="s">
        <v>600</v>
      </c>
      <c r="K327" s="4" t="str">
        <f t="shared" si="5"/>
        <v>4Y / 0N</v>
      </c>
      <c r="L327" s="2" t="s">
        <v>19</v>
      </c>
      <c r="M327" s="2"/>
    </row>
    <row r="328" spans="1:13" ht="98.1" customHeight="1" x14ac:dyDescent="0.2">
      <c r="A328" s="2" t="s">
        <v>1154</v>
      </c>
      <c r="B328" s="3" t="s">
        <v>14</v>
      </c>
      <c r="C328" s="3" t="s">
        <v>14</v>
      </c>
      <c r="D328" s="2" t="s">
        <v>944</v>
      </c>
      <c r="E328" s="3" t="s">
        <v>14</v>
      </c>
      <c r="F328" s="2" t="s">
        <v>1117</v>
      </c>
      <c r="G328" s="3" t="s">
        <v>14</v>
      </c>
      <c r="H328" s="2" t="s">
        <v>1155</v>
      </c>
      <c r="I328" s="3" t="s">
        <v>14</v>
      </c>
      <c r="J328" s="2" t="s">
        <v>1156</v>
      </c>
      <c r="K328" s="4" t="str">
        <f t="shared" si="5"/>
        <v>4Y / 0N</v>
      </c>
      <c r="L328" s="2" t="s">
        <v>19</v>
      </c>
      <c r="M328" s="2"/>
    </row>
    <row r="329" spans="1:13" ht="98.1" customHeight="1" x14ac:dyDescent="0.2">
      <c r="A329" s="2" t="s">
        <v>1157</v>
      </c>
      <c r="B329" s="3" t="s">
        <v>14</v>
      </c>
      <c r="C329" s="3" t="s">
        <v>14</v>
      </c>
      <c r="D329" s="2" t="s">
        <v>944</v>
      </c>
      <c r="E329" s="3" t="s">
        <v>14</v>
      </c>
      <c r="F329" s="2" t="s">
        <v>1117</v>
      </c>
      <c r="G329" s="3" t="s">
        <v>14</v>
      </c>
      <c r="H329" s="2" t="s">
        <v>1158</v>
      </c>
      <c r="I329" s="3" t="s">
        <v>14</v>
      </c>
      <c r="J329" s="2" t="s">
        <v>306</v>
      </c>
      <c r="K329" s="4" t="str">
        <f t="shared" si="5"/>
        <v>4Y / 0N</v>
      </c>
      <c r="L329" s="2" t="s">
        <v>19</v>
      </c>
      <c r="M329" s="2"/>
    </row>
    <row r="330" spans="1:13" ht="98.1" customHeight="1" x14ac:dyDescent="0.2">
      <c r="A330" s="2" t="s">
        <v>1159</v>
      </c>
      <c r="B330" s="3" t="s">
        <v>24</v>
      </c>
      <c r="C330" s="3" t="s">
        <v>24</v>
      </c>
      <c r="D330" s="2" t="s">
        <v>589</v>
      </c>
      <c r="E330" s="3" t="s">
        <v>24</v>
      </c>
      <c r="F330" s="2" t="s">
        <v>1160</v>
      </c>
      <c r="G330" s="3" t="s">
        <v>24</v>
      </c>
      <c r="H330" s="2" t="s">
        <v>1161</v>
      </c>
      <c r="I330" s="3" t="s">
        <v>24</v>
      </c>
      <c r="J330" s="2" t="s">
        <v>1162</v>
      </c>
      <c r="K330" s="4" t="str">
        <f t="shared" si="5"/>
        <v>0Y / 4N</v>
      </c>
      <c r="L330" s="2" t="s">
        <v>19</v>
      </c>
      <c r="M330" s="2"/>
    </row>
    <row r="331" spans="1:13" ht="98.1" customHeight="1" x14ac:dyDescent="0.2">
      <c r="A331" s="2" t="s">
        <v>1163</v>
      </c>
      <c r="B331" s="3" t="s">
        <v>24</v>
      </c>
      <c r="C331" s="3" t="s">
        <v>24</v>
      </c>
      <c r="D331" s="2" t="s">
        <v>388</v>
      </c>
      <c r="E331" s="3" t="s">
        <v>24</v>
      </c>
      <c r="F331" s="2" t="s">
        <v>1164</v>
      </c>
      <c r="G331" s="3" t="s">
        <v>14</v>
      </c>
      <c r="H331" s="2" t="s">
        <v>1165</v>
      </c>
      <c r="I331" s="3" t="s">
        <v>24</v>
      </c>
      <c r="J331" s="2" t="s">
        <v>1166</v>
      </c>
      <c r="K331" s="4" t="str">
        <f t="shared" si="5"/>
        <v>1Y / 3N</v>
      </c>
      <c r="L331" s="2" t="s">
        <v>26</v>
      </c>
      <c r="M331" s="2" t="s">
        <v>120</v>
      </c>
    </row>
    <row r="332" spans="1:13" ht="98.1" customHeight="1" x14ac:dyDescent="0.2">
      <c r="A332" s="2" t="s">
        <v>1167</v>
      </c>
      <c r="B332" s="3" t="s">
        <v>14</v>
      </c>
      <c r="C332" s="3" t="s">
        <v>24</v>
      </c>
      <c r="D332" s="2" t="s">
        <v>1168</v>
      </c>
      <c r="E332" s="3" t="s">
        <v>14</v>
      </c>
      <c r="F332" s="2" t="s">
        <v>1117</v>
      </c>
      <c r="G332" s="3" t="s">
        <v>14</v>
      </c>
      <c r="H332" s="2" t="s">
        <v>1169</v>
      </c>
      <c r="I332" s="3" t="s">
        <v>14</v>
      </c>
      <c r="J332" s="2" t="s">
        <v>1170</v>
      </c>
      <c r="K332" s="4" t="str">
        <f t="shared" si="5"/>
        <v>3Y / 1N</v>
      </c>
      <c r="L332" s="2" t="s">
        <v>38</v>
      </c>
      <c r="M332" s="2" t="s">
        <v>110</v>
      </c>
    </row>
    <row r="333" spans="1:13" ht="98.1" customHeight="1" x14ac:dyDescent="0.2">
      <c r="A333" s="2" t="s">
        <v>1171</v>
      </c>
      <c r="B333" s="3" t="s">
        <v>24</v>
      </c>
      <c r="C333" s="3" t="s">
        <v>14</v>
      </c>
      <c r="D333" s="2" t="s">
        <v>1172</v>
      </c>
      <c r="E333" s="3" t="s">
        <v>14</v>
      </c>
      <c r="F333" s="2" t="s">
        <v>1117</v>
      </c>
      <c r="G333" s="3" t="s">
        <v>24</v>
      </c>
      <c r="H333" s="2" t="s">
        <v>628</v>
      </c>
      <c r="I333" s="3" t="s">
        <v>24</v>
      </c>
      <c r="J333" s="2" t="s">
        <v>1173</v>
      </c>
      <c r="K333" s="4" t="str">
        <f t="shared" si="5"/>
        <v>2Y / 2N</v>
      </c>
      <c r="L333" s="2" t="s">
        <v>38</v>
      </c>
      <c r="M333" s="2" t="s">
        <v>202</v>
      </c>
    </row>
    <row r="334" spans="1:13" ht="98.1" customHeight="1" x14ac:dyDescent="0.2">
      <c r="A334" s="2" t="s">
        <v>1174</v>
      </c>
      <c r="B334" s="3" t="s">
        <v>14</v>
      </c>
      <c r="C334" s="3" t="s">
        <v>14</v>
      </c>
      <c r="D334" s="2" t="s">
        <v>944</v>
      </c>
      <c r="E334" s="3" t="s">
        <v>14</v>
      </c>
      <c r="F334" s="2" t="s">
        <v>1117</v>
      </c>
      <c r="G334" s="3" t="s">
        <v>14</v>
      </c>
      <c r="H334" s="2" t="s">
        <v>1175</v>
      </c>
      <c r="I334" s="3" t="s">
        <v>14</v>
      </c>
      <c r="J334" s="2" t="s">
        <v>1176</v>
      </c>
      <c r="K334" s="4" t="str">
        <f t="shared" si="5"/>
        <v>4Y / 0N</v>
      </c>
      <c r="L334" s="2" t="s">
        <v>19</v>
      </c>
      <c r="M334" s="2"/>
    </row>
    <row r="335" spans="1:13" ht="98.1" customHeight="1" x14ac:dyDescent="0.2">
      <c r="A335" s="2" t="s">
        <v>1177</v>
      </c>
      <c r="B335" s="3" t="s">
        <v>24</v>
      </c>
      <c r="C335" s="3" t="s">
        <v>24</v>
      </c>
      <c r="D335" s="2" t="s">
        <v>388</v>
      </c>
      <c r="E335" s="3" t="s">
        <v>24</v>
      </c>
      <c r="F335" s="2" t="s">
        <v>1178</v>
      </c>
      <c r="G335" s="3" t="s">
        <v>24</v>
      </c>
      <c r="H335" s="2" t="s">
        <v>1179</v>
      </c>
      <c r="I335" s="3" t="s">
        <v>24</v>
      </c>
      <c r="J335" s="2" t="s">
        <v>1180</v>
      </c>
      <c r="K335" s="4" t="str">
        <f t="shared" si="5"/>
        <v>0Y / 4N</v>
      </c>
      <c r="L335" s="2" t="s">
        <v>19</v>
      </c>
      <c r="M335" s="2"/>
    </row>
    <row r="336" spans="1:13" ht="98.1" customHeight="1" x14ac:dyDescent="0.2">
      <c r="A336" s="2" t="s">
        <v>1181</v>
      </c>
      <c r="B336" s="3" t="s">
        <v>24</v>
      </c>
      <c r="C336" s="3" t="s">
        <v>24</v>
      </c>
      <c r="D336" s="2" t="s">
        <v>388</v>
      </c>
      <c r="E336" s="3" t="s">
        <v>24</v>
      </c>
      <c r="F336" s="2" t="s">
        <v>1178</v>
      </c>
      <c r="G336" s="3" t="s">
        <v>24</v>
      </c>
      <c r="H336" s="2" t="s">
        <v>126</v>
      </c>
      <c r="I336" s="3" t="s">
        <v>24</v>
      </c>
      <c r="J336" s="2" t="s">
        <v>1182</v>
      </c>
      <c r="K336" s="4" t="str">
        <f t="shared" si="5"/>
        <v>0Y / 4N</v>
      </c>
      <c r="L336" s="2" t="s">
        <v>19</v>
      </c>
      <c r="M336" s="2"/>
    </row>
    <row r="337" spans="1:13" ht="98.1" customHeight="1" x14ac:dyDescent="0.2">
      <c r="A337" s="2" t="s">
        <v>1183</v>
      </c>
      <c r="B337" s="3" t="s">
        <v>24</v>
      </c>
      <c r="C337" s="3" t="s">
        <v>24</v>
      </c>
      <c r="D337" s="2" t="s">
        <v>1184</v>
      </c>
      <c r="E337" s="3" t="s">
        <v>24</v>
      </c>
      <c r="F337" s="2" t="s">
        <v>1185</v>
      </c>
      <c r="G337" s="3" t="s">
        <v>24</v>
      </c>
      <c r="H337" s="2" t="s">
        <v>1186</v>
      </c>
      <c r="I337" s="3" t="s">
        <v>14</v>
      </c>
      <c r="J337" s="2" t="s">
        <v>1187</v>
      </c>
      <c r="K337" s="4" t="str">
        <f t="shared" si="5"/>
        <v>1Y / 3N</v>
      </c>
      <c r="L337" s="2" t="s">
        <v>38</v>
      </c>
      <c r="M337" s="2" t="s">
        <v>66</v>
      </c>
    </row>
    <row r="338" spans="1:13" ht="98.1" customHeight="1" x14ac:dyDescent="0.2">
      <c r="A338" s="2" t="s">
        <v>1188</v>
      </c>
      <c r="B338" s="3" t="s">
        <v>14</v>
      </c>
      <c r="C338" s="3" t="s">
        <v>14</v>
      </c>
      <c r="D338" s="2" t="s">
        <v>944</v>
      </c>
      <c r="E338" s="3" t="s">
        <v>14</v>
      </c>
      <c r="F338" s="2" t="s">
        <v>1117</v>
      </c>
      <c r="G338" s="3" t="s">
        <v>14</v>
      </c>
      <c r="H338" s="2" t="s">
        <v>1189</v>
      </c>
      <c r="I338" s="3" t="s">
        <v>14</v>
      </c>
      <c r="J338" s="2" t="s">
        <v>306</v>
      </c>
      <c r="K338" s="4" t="str">
        <f t="shared" si="5"/>
        <v>4Y / 0N</v>
      </c>
      <c r="L338" s="2" t="s">
        <v>19</v>
      </c>
      <c r="M338" s="2"/>
    </row>
    <row r="339" spans="1:13" ht="98.1" customHeight="1" x14ac:dyDescent="0.2">
      <c r="A339" s="2" t="s">
        <v>1190</v>
      </c>
      <c r="B339" s="3" t="s">
        <v>14</v>
      </c>
      <c r="C339" s="3" t="s">
        <v>14</v>
      </c>
      <c r="D339" s="2" t="s">
        <v>944</v>
      </c>
      <c r="E339" s="3" t="s">
        <v>14</v>
      </c>
      <c r="F339" s="2" t="s">
        <v>1117</v>
      </c>
      <c r="G339" s="3" t="s">
        <v>14</v>
      </c>
      <c r="H339" s="2" t="s">
        <v>1191</v>
      </c>
      <c r="I339" s="3" t="s">
        <v>14</v>
      </c>
      <c r="J339" s="2" t="s">
        <v>1192</v>
      </c>
      <c r="K339" s="4" t="str">
        <f t="shared" si="5"/>
        <v>4Y / 0N</v>
      </c>
      <c r="L339" s="2" t="s">
        <v>19</v>
      </c>
      <c r="M339" s="2"/>
    </row>
    <row r="340" spans="1:13" ht="98.1" customHeight="1" x14ac:dyDescent="0.2">
      <c r="A340" s="2" t="s">
        <v>1193</v>
      </c>
      <c r="B340" s="3" t="s">
        <v>14</v>
      </c>
      <c r="C340" s="3" t="s">
        <v>14</v>
      </c>
      <c r="D340" s="2" t="s">
        <v>944</v>
      </c>
      <c r="E340" s="3" t="s">
        <v>14</v>
      </c>
      <c r="F340" s="2" t="s">
        <v>1117</v>
      </c>
      <c r="G340" s="3" t="s">
        <v>14</v>
      </c>
      <c r="H340" s="2" t="s">
        <v>1194</v>
      </c>
      <c r="I340" s="3" t="s">
        <v>14</v>
      </c>
      <c r="J340" s="2" t="s">
        <v>1195</v>
      </c>
      <c r="K340" s="4" t="str">
        <f t="shared" si="5"/>
        <v>4Y / 0N</v>
      </c>
      <c r="L340" s="2" t="s">
        <v>19</v>
      </c>
      <c r="M340" s="2"/>
    </row>
    <row r="341" spans="1:13" ht="98.1" customHeight="1" x14ac:dyDescent="0.2">
      <c r="A341" s="2" t="s">
        <v>1196</v>
      </c>
      <c r="B341" s="3" t="s">
        <v>14</v>
      </c>
      <c r="C341" s="3" t="s">
        <v>14</v>
      </c>
      <c r="D341" s="2" t="s">
        <v>1197</v>
      </c>
      <c r="E341" s="3" t="s">
        <v>14</v>
      </c>
      <c r="F341" s="2" t="s">
        <v>1117</v>
      </c>
      <c r="G341" s="3" t="s">
        <v>14</v>
      </c>
      <c r="H341" s="2" t="s">
        <v>1102</v>
      </c>
      <c r="I341" s="3" t="s">
        <v>14</v>
      </c>
      <c r="J341" s="2" t="s">
        <v>600</v>
      </c>
      <c r="K341" s="4" t="str">
        <f t="shared" si="5"/>
        <v>4Y / 0N</v>
      </c>
      <c r="L341" s="2" t="s">
        <v>19</v>
      </c>
      <c r="M341" s="2"/>
    </row>
    <row r="342" spans="1:13" ht="98.1" customHeight="1" x14ac:dyDescent="0.2">
      <c r="A342" s="2" t="s">
        <v>1198</v>
      </c>
      <c r="B342" s="3" t="s">
        <v>14</v>
      </c>
      <c r="C342" s="3" t="s">
        <v>14</v>
      </c>
      <c r="D342" s="2" t="s">
        <v>944</v>
      </c>
      <c r="E342" s="3" t="s">
        <v>14</v>
      </c>
      <c r="F342" s="2" t="s">
        <v>1117</v>
      </c>
      <c r="G342" s="3" t="s">
        <v>14</v>
      </c>
      <c r="H342" s="2" t="s">
        <v>1199</v>
      </c>
      <c r="I342" s="3" t="s">
        <v>14</v>
      </c>
      <c r="J342" s="2" t="s">
        <v>1200</v>
      </c>
      <c r="K342" s="4" t="str">
        <f t="shared" si="5"/>
        <v>4Y / 0N</v>
      </c>
      <c r="L342" s="2" t="s">
        <v>19</v>
      </c>
      <c r="M342" s="2"/>
    </row>
    <row r="343" spans="1:13" ht="98.1" customHeight="1" x14ac:dyDescent="0.2">
      <c r="A343" s="2" t="s">
        <v>1201</v>
      </c>
      <c r="B343" s="3" t="s">
        <v>24</v>
      </c>
      <c r="C343" s="3" t="s">
        <v>24</v>
      </c>
      <c r="D343" s="2" t="s">
        <v>1202</v>
      </c>
      <c r="E343" s="3" t="s">
        <v>24</v>
      </c>
      <c r="F343" s="2" t="s">
        <v>1203</v>
      </c>
      <c r="G343" s="3" t="s">
        <v>24</v>
      </c>
      <c r="H343" s="2" t="s">
        <v>126</v>
      </c>
      <c r="I343" s="3" t="s">
        <v>24</v>
      </c>
      <c r="J343" s="2" t="s">
        <v>1204</v>
      </c>
      <c r="K343" s="4" t="str">
        <f t="shared" si="5"/>
        <v>0Y / 4N</v>
      </c>
      <c r="L343" s="2" t="s">
        <v>19</v>
      </c>
      <c r="M343" s="2"/>
    </row>
    <row r="344" spans="1:13" ht="98.1" customHeight="1" x14ac:dyDescent="0.2">
      <c r="A344" s="2" t="s">
        <v>1205</v>
      </c>
      <c r="B344" s="3" t="s">
        <v>14</v>
      </c>
      <c r="C344" s="3" t="s">
        <v>14</v>
      </c>
      <c r="D344" s="2" t="s">
        <v>260</v>
      </c>
      <c r="E344" s="3" t="s">
        <v>14</v>
      </c>
      <c r="F344" s="2" t="s">
        <v>1117</v>
      </c>
      <c r="G344" s="3" t="s">
        <v>14</v>
      </c>
      <c r="H344" s="2" t="s">
        <v>1206</v>
      </c>
      <c r="I344" s="3" t="s">
        <v>14</v>
      </c>
      <c r="J344" s="2" t="s">
        <v>1207</v>
      </c>
      <c r="K344" s="4" t="str">
        <f t="shared" si="5"/>
        <v>4Y / 0N</v>
      </c>
      <c r="L344" s="2" t="s">
        <v>19</v>
      </c>
      <c r="M344" s="2"/>
    </row>
    <row r="345" spans="1:13" ht="98.1" customHeight="1" x14ac:dyDescent="0.2">
      <c r="A345" s="2" t="s">
        <v>1208</v>
      </c>
      <c r="B345" s="3" t="s">
        <v>14</v>
      </c>
      <c r="C345" s="3" t="s">
        <v>14</v>
      </c>
      <c r="D345" s="2" t="s">
        <v>944</v>
      </c>
      <c r="E345" s="3" t="s">
        <v>14</v>
      </c>
      <c r="F345" s="2" t="s">
        <v>1117</v>
      </c>
      <c r="G345" s="3" t="s">
        <v>14</v>
      </c>
      <c r="H345" s="2" t="s">
        <v>1209</v>
      </c>
      <c r="I345" s="3" t="s">
        <v>14</v>
      </c>
      <c r="J345" s="2" t="s">
        <v>1210</v>
      </c>
      <c r="K345" s="4" t="str">
        <f t="shared" si="5"/>
        <v>4Y / 0N</v>
      </c>
      <c r="L345" s="2" t="s">
        <v>19</v>
      </c>
      <c r="M345" s="2"/>
    </row>
    <row r="346" spans="1:13" ht="98.1" customHeight="1" x14ac:dyDescent="0.2">
      <c r="A346" s="2" t="s">
        <v>1211</v>
      </c>
      <c r="B346" s="3" t="s">
        <v>24</v>
      </c>
      <c r="C346" s="3" t="s">
        <v>24</v>
      </c>
      <c r="D346" s="2" t="s">
        <v>388</v>
      </c>
      <c r="E346" s="3" t="s">
        <v>24</v>
      </c>
      <c r="F346" s="2" t="s">
        <v>278</v>
      </c>
      <c r="G346" s="3" t="s">
        <v>14</v>
      </c>
      <c r="H346" s="2" t="s">
        <v>799</v>
      </c>
      <c r="I346" s="3" t="s">
        <v>24</v>
      </c>
      <c r="J346" s="2" t="s">
        <v>1212</v>
      </c>
      <c r="K346" s="4" t="str">
        <f t="shared" si="5"/>
        <v>1Y / 3N</v>
      </c>
      <c r="L346" s="2" t="s">
        <v>38</v>
      </c>
      <c r="M346" s="2" t="s">
        <v>202</v>
      </c>
    </row>
    <row r="347" spans="1:13" ht="98.1" customHeight="1" x14ac:dyDescent="0.2">
      <c r="A347" s="2" t="s">
        <v>1213</v>
      </c>
      <c r="B347" s="3" t="s">
        <v>24</v>
      </c>
      <c r="C347" s="3" t="s">
        <v>24</v>
      </c>
      <c r="D347" s="2" t="s">
        <v>388</v>
      </c>
      <c r="E347" s="3" t="s">
        <v>24</v>
      </c>
      <c r="F347" s="2" t="s">
        <v>278</v>
      </c>
      <c r="G347" s="3" t="s">
        <v>24</v>
      </c>
      <c r="H347" s="2" t="s">
        <v>126</v>
      </c>
      <c r="I347" s="3" t="s">
        <v>24</v>
      </c>
      <c r="J347" s="2" t="s">
        <v>1214</v>
      </c>
      <c r="K347" s="4" t="str">
        <f t="shared" si="5"/>
        <v>0Y / 4N</v>
      </c>
      <c r="L347" s="2" t="s">
        <v>19</v>
      </c>
      <c r="M347" s="2"/>
    </row>
    <row r="348" spans="1:13" ht="98.1" customHeight="1" x14ac:dyDescent="0.2">
      <c r="A348" s="2" t="s">
        <v>1215</v>
      </c>
      <c r="B348" s="3" t="s">
        <v>14</v>
      </c>
      <c r="C348" s="3" t="s">
        <v>14</v>
      </c>
      <c r="D348" s="2" t="s">
        <v>944</v>
      </c>
      <c r="E348" s="3" t="s">
        <v>14</v>
      </c>
      <c r="F348" s="2" t="s">
        <v>1117</v>
      </c>
      <c r="G348" s="3" t="s">
        <v>14</v>
      </c>
      <c r="H348" s="2" t="s">
        <v>133</v>
      </c>
      <c r="I348" s="3" t="s">
        <v>14</v>
      </c>
      <c r="J348" s="2" t="s">
        <v>1216</v>
      </c>
      <c r="K348" s="4" t="str">
        <f t="shared" si="5"/>
        <v>4Y / 0N</v>
      </c>
      <c r="L348" s="2" t="s">
        <v>19</v>
      </c>
      <c r="M348" s="2"/>
    </row>
    <row r="349" spans="1:13" ht="98.1" customHeight="1" x14ac:dyDescent="0.2">
      <c r="A349" s="2" t="s">
        <v>1217</v>
      </c>
      <c r="B349" s="3" t="s">
        <v>14</v>
      </c>
      <c r="C349" s="3" t="s">
        <v>14</v>
      </c>
      <c r="D349" s="2" t="s">
        <v>944</v>
      </c>
      <c r="E349" s="3" t="s">
        <v>14</v>
      </c>
      <c r="F349" s="2" t="s">
        <v>1117</v>
      </c>
      <c r="G349" s="3" t="s">
        <v>14</v>
      </c>
      <c r="H349" s="2" t="s">
        <v>1218</v>
      </c>
      <c r="I349" s="3" t="s">
        <v>14</v>
      </c>
      <c r="J349" s="2" t="s">
        <v>457</v>
      </c>
      <c r="K349" s="4" t="str">
        <f t="shared" si="5"/>
        <v>4Y / 0N</v>
      </c>
      <c r="L349" s="2" t="s">
        <v>19</v>
      </c>
      <c r="M349" s="2"/>
    </row>
    <row r="350" spans="1:13" ht="98.1" customHeight="1" x14ac:dyDescent="0.2">
      <c r="A350" s="2" t="s">
        <v>1219</v>
      </c>
      <c r="B350" s="3" t="s">
        <v>14</v>
      </c>
      <c r="C350" s="3" t="s">
        <v>14</v>
      </c>
      <c r="D350" s="2" t="s">
        <v>944</v>
      </c>
      <c r="E350" s="3" t="s">
        <v>14</v>
      </c>
      <c r="F350" s="2" t="s">
        <v>1117</v>
      </c>
      <c r="G350" s="3" t="s">
        <v>14</v>
      </c>
      <c r="H350" s="2" t="s">
        <v>1220</v>
      </c>
      <c r="I350" s="3" t="s">
        <v>14</v>
      </c>
      <c r="J350" s="2" t="s">
        <v>457</v>
      </c>
      <c r="K350" s="4" t="str">
        <f t="shared" si="5"/>
        <v>4Y / 0N</v>
      </c>
      <c r="L350" s="2" t="s">
        <v>19</v>
      </c>
      <c r="M350" s="2"/>
    </row>
    <row r="351" spans="1:13" ht="98.1" customHeight="1" x14ac:dyDescent="0.2">
      <c r="A351" s="2" t="s">
        <v>1221</v>
      </c>
      <c r="B351" s="3" t="s">
        <v>24</v>
      </c>
      <c r="C351" s="3" t="s">
        <v>24</v>
      </c>
      <c r="D351" s="2" t="s">
        <v>1222</v>
      </c>
      <c r="E351" s="3" t="s">
        <v>24</v>
      </c>
      <c r="F351" s="2" t="s">
        <v>1223</v>
      </c>
      <c r="G351" s="3" t="s">
        <v>24</v>
      </c>
      <c r="H351" s="2" t="s">
        <v>126</v>
      </c>
      <c r="I351" s="3" t="s">
        <v>24</v>
      </c>
      <c r="J351" s="2" t="s">
        <v>1224</v>
      </c>
      <c r="K351" s="4" t="str">
        <f t="shared" si="5"/>
        <v>0Y / 4N</v>
      </c>
      <c r="L351" s="2" t="s">
        <v>19</v>
      </c>
      <c r="M351" s="2"/>
    </row>
    <row r="352" spans="1:13" ht="98.1" customHeight="1" x14ac:dyDescent="0.2">
      <c r="A352" s="2" t="s">
        <v>1225</v>
      </c>
      <c r="B352" s="3" t="s">
        <v>24</v>
      </c>
      <c r="C352" s="3" t="s">
        <v>24</v>
      </c>
      <c r="D352" s="2" t="s">
        <v>1226</v>
      </c>
      <c r="E352" s="3" t="s">
        <v>24</v>
      </c>
      <c r="F352" s="2" t="s">
        <v>1227</v>
      </c>
      <c r="G352" s="3" t="s">
        <v>24</v>
      </c>
      <c r="H352" s="2" t="s">
        <v>206</v>
      </c>
      <c r="I352" s="3" t="s">
        <v>24</v>
      </c>
      <c r="J352" s="2" t="s">
        <v>1228</v>
      </c>
      <c r="K352" s="4" t="str">
        <f t="shared" si="5"/>
        <v>0Y / 4N</v>
      </c>
      <c r="L352" s="2" t="s">
        <v>19</v>
      </c>
      <c r="M352" s="2"/>
    </row>
    <row r="353" spans="1:13" ht="98.1" customHeight="1" x14ac:dyDescent="0.2">
      <c r="A353" s="2" t="s">
        <v>1229</v>
      </c>
      <c r="B353" s="3" t="s">
        <v>14</v>
      </c>
      <c r="C353" s="3" t="s">
        <v>14</v>
      </c>
      <c r="D353" s="2" t="s">
        <v>944</v>
      </c>
      <c r="E353" s="3" t="s">
        <v>14</v>
      </c>
      <c r="F353" s="2" t="s">
        <v>1230</v>
      </c>
      <c r="G353" s="3" t="s">
        <v>14</v>
      </c>
      <c r="H353" s="2" t="s">
        <v>1231</v>
      </c>
      <c r="I353" s="3" t="s">
        <v>14</v>
      </c>
      <c r="J353" s="2" t="s">
        <v>306</v>
      </c>
      <c r="K353" s="4" t="str">
        <f t="shared" si="5"/>
        <v>4Y / 0N</v>
      </c>
      <c r="L353" s="2" t="s">
        <v>19</v>
      </c>
      <c r="M353" s="2"/>
    </row>
    <row r="354" spans="1:13" ht="98.1" customHeight="1" x14ac:dyDescent="0.2">
      <c r="A354" s="2" t="s">
        <v>1232</v>
      </c>
      <c r="B354" s="3" t="s">
        <v>24</v>
      </c>
      <c r="C354" s="3" t="s">
        <v>24</v>
      </c>
      <c r="D354" s="2" t="s">
        <v>1233</v>
      </c>
      <c r="E354" s="3" t="s">
        <v>24</v>
      </c>
      <c r="F354" s="2" t="s">
        <v>1234</v>
      </c>
      <c r="G354" s="3" t="s">
        <v>14</v>
      </c>
      <c r="H354" s="2" t="s">
        <v>1235</v>
      </c>
      <c r="I354" s="3" t="s">
        <v>14</v>
      </c>
      <c r="J354" s="2" t="s">
        <v>1236</v>
      </c>
      <c r="K354" s="4" t="str">
        <f t="shared" si="5"/>
        <v>2Y / 2N</v>
      </c>
      <c r="L354" s="2" t="s">
        <v>38</v>
      </c>
      <c r="M354" s="2" t="s">
        <v>66</v>
      </c>
    </row>
    <row r="355" spans="1:13" ht="98.1" customHeight="1" x14ac:dyDescent="0.2">
      <c r="A355" s="2" t="s">
        <v>1237</v>
      </c>
      <c r="B355" s="3" t="s">
        <v>14</v>
      </c>
      <c r="C355" s="3" t="s">
        <v>14</v>
      </c>
      <c r="D355" s="2" t="s">
        <v>944</v>
      </c>
      <c r="E355" s="3" t="s">
        <v>14</v>
      </c>
      <c r="F355" s="2" t="s">
        <v>1238</v>
      </c>
      <c r="G355" s="3" t="s">
        <v>14</v>
      </c>
      <c r="H355" s="2" t="s">
        <v>1239</v>
      </c>
      <c r="I355" s="3" t="s">
        <v>14</v>
      </c>
      <c r="J355" s="2" t="s">
        <v>1240</v>
      </c>
      <c r="K355" s="4" t="str">
        <f t="shared" si="5"/>
        <v>4Y / 0N</v>
      </c>
      <c r="L355" s="2" t="s">
        <v>19</v>
      </c>
      <c r="M355" s="2"/>
    </row>
    <row r="356" spans="1:13" ht="98.1" customHeight="1" x14ac:dyDescent="0.2">
      <c r="A356" s="2" t="s">
        <v>1241</v>
      </c>
      <c r="B356" s="3" t="s">
        <v>24</v>
      </c>
      <c r="C356" s="3" t="s">
        <v>14</v>
      </c>
      <c r="D356" s="2" t="s">
        <v>1242</v>
      </c>
      <c r="E356" s="3" t="s">
        <v>24</v>
      </c>
      <c r="F356" s="2" t="s">
        <v>1243</v>
      </c>
      <c r="G356" s="3" t="s">
        <v>14</v>
      </c>
      <c r="H356" s="2" t="s">
        <v>1244</v>
      </c>
      <c r="I356" s="3" t="s">
        <v>14</v>
      </c>
      <c r="J356" s="2" t="s">
        <v>422</v>
      </c>
      <c r="K356" s="4" t="str">
        <f t="shared" si="5"/>
        <v>3Y / 1N</v>
      </c>
      <c r="L356" s="2" t="s">
        <v>38</v>
      </c>
      <c r="M356" s="2" t="s">
        <v>601</v>
      </c>
    </row>
    <row r="357" spans="1:13" ht="98.1" customHeight="1" x14ac:dyDescent="0.2">
      <c r="A357" s="2" t="s">
        <v>1245</v>
      </c>
      <c r="B357" s="3" t="s">
        <v>24</v>
      </c>
      <c r="C357" s="3" t="s">
        <v>303</v>
      </c>
      <c r="D357" s="2" t="s">
        <v>1246</v>
      </c>
      <c r="E357" s="3" t="s">
        <v>24</v>
      </c>
      <c r="F357" s="2" t="s">
        <v>278</v>
      </c>
      <c r="G357" s="3" t="s">
        <v>24</v>
      </c>
      <c r="H357" s="2" t="s">
        <v>126</v>
      </c>
      <c r="I357" s="3" t="s">
        <v>24</v>
      </c>
      <c r="J357" s="2" t="s">
        <v>1247</v>
      </c>
      <c r="K357" s="4" t="str">
        <f t="shared" si="5"/>
        <v>0Y / 3N / 1 ambiguous</v>
      </c>
      <c r="L357" s="2" t="s">
        <v>1248</v>
      </c>
      <c r="M357" s="2" t="s">
        <v>120</v>
      </c>
    </row>
    <row r="358" spans="1:13" ht="98.1" customHeight="1" x14ac:dyDescent="0.2">
      <c r="A358" s="2" t="s">
        <v>1249</v>
      </c>
      <c r="B358" s="3" t="s">
        <v>24</v>
      </c>
      <c r="C358" s="3" t="s">
        <v>24</v>
      </c>
      <c r="D358" s="2" t="s">
        <v>1233</v>
      </c>
      <c r="E358" s="3" t="s">
        <v>24</v>
      </c>
      <c r="F358" s="2" t="s">
        <v>1250</v>
      </c>
      <c r="G358" s="3" t="s">
        <v>14</v>
      </c>
      <c r="H358" s="2" t="s">
        <v>1251</v>
      </c>
      <c r="I358" s="3" t="s">
        <v>14</v>
      </c>
      <c r="J358" s="2" t="s">
        <v>1252</v>
      </c>
      <c r="K358" s="4" t="str">
        <f t="shared" si="5"/>
        <v>2Y / 2N</v>
      </c>
      <c r="L358" s="2" t="s">
        <v>38</v>
      </c>
      <c r="M358" s="2" t="s">
        <v>66</v>
      </c>
    </row>
    <row r="359" spans="1:13" ht="98.1" customHeight="1" x14ac:dyDescent="0.2">
      <c r="A359" s="2" t="s">
        <v>1253</v>
      </c>
      <c r="B359" s="3" t="s">
        <v>14</v>
      </c>
      <c r="C359" s="3" t="s">
        <v>14</v>
      </c>
      <c r="D359" s="2" t="s">
        <v>1172</v>
      </c>
      <c r="E359" s="3" t="s">
        <v>14</v>
      </c>
      <c r="F359" s="2" t="s">
        <v>1238</v>
      </c>
      <c r="G359" s="3" t="s">
        <v>14</v>
      </c>
      <c r="H359" s="2" t="s">
        <v>1102</v>
      </c>
      <c r="I359" s="3" t="s">
        <v>14</v>
      </c>
      <c r="J359" s="2" t="s">
        <v>1254</v>
      </c>
      <c r="K359" s="4" t="str">
        <f t="shared" si="5"/>
        <v>4Y / 0N</v>
      </c>
      <c r="L359" s="2" t="s">
        <v>19</v>
      </c>
      <c r="M359" s="2"/>
    </row>
    <row r="360" spans="1:13" ht="98.1" customHeight="1" x14ac:dyDescent="0.2">
      <c r="A360" s="2" t="s">
        <v>1255</v>
      </c>
      <c r="B360" s="3" t="s">
        <v>24</v>
      </c>
      <c r="C360" s="3" t="s">
        <v>24</v>
      </c>
      <c r="D360" s="2" t="s">
        <v>388</v>
      </c>
      <c r="E360" s="3" t="s">
        <v>24</v>
      </c>
      <c r="F360" s="2" t="s">
        <v>1256</v>
      </c>
      <c r="G360" s="3" t="s">
        <v>24</v>
      </c>
      <c r="H360" s="2" t="s">
        <v>126</v>
      </c>
      <c r="I360" s="3" t="s">
        <v>24</v>
      </c>
      <c r="J360" s="2" t="s">
        <v>1257</v>
      </c>
      <c r="K360" s="4" t="str">
        <f t="shared" si="5"/>
        <v>0Y / 4N</v>
      </c>
      <c r="L360" s="2" t="s">
        <v>19</v>
      </c>
      <c r="M360" s="2"/>
    </row>
    <row r="361" spans="1:13" ht="98.1" customHeight="1" x14ac:dyDescent="0.2">
      <c r="A361" s="2" t="s">
        <v>1258</v>
      </c>
      <c r="B361" s="3" t="s">
        <v>24</v>
      </c>
      <c r="C361" s="3" t="s">
        <v>24</v>
      </c>
      <c r="D361" s="2" t="s">
        <v>1259</v>
      </c>
      <c r="E361" s="3" t="s">
        <v>14</v>
      </c>
      <c r="F361" s="2" t="s">
        <v>1238</v>
      </c>
      <c r="G361" s="3" t="s">
        <v>14</v>
      </c>
      <c r="H361" s="2" t="s">
        <v>1260</v>
      </c>
      <c r="I361" s="3" t="s">
        <v>14</v>
      </c>
      <c r="J361" s="2" t="s">
        <v>1261</v>
      </c>
      <c r="K361" s="4" t="str">
        <f t="shared" si="5"/>
        <v>3Y / 1N</v>
      </c>
      <c r="L361" s="2" t="s">
        <v>38</v>
      </c>
      <c r="M361" s="2" t="s">
        <v>66</v>
      </c>
    </row>
    <row r="362" spans="1:13" ht="98.1" customHeight="1" x14ac:dyDescent="0.2">
      <c r="A362" s="2" t="s">
        <v>1262</v>
      </c>
      <c r="B362" s="3" t="s">
        <v>14</v>
      </c>
      <c r="C362" s="3" t="s">
        <v>14</v>
      </c>
      <c r="D362" s="2" t="s">
        <v>1263</v>
      </c>
      <c r="E362" s="3" t="s">
        <v>14</v>
      </c>
      <c r="F362" s="2" t="s">
        <v>1238</v>
      </c>
      <c r="G362" s="3" t="s">
        <v>14</v>
      </c>
      <c r="H362" s="2" t="s">
        <v>1264</v>
      </c>
      <c r="I362" s="3" t="s">
        <v>14</v>
      </c>
      <c r="J362" s="2" t="s">
        <v>871</v>
      </c>
      <c r="K362" s="4" t="str">
        <f t="shared" si="5"/>
        <v>4Y / 0N</v>
      </c>
      <c r="L362" s="2" t="s">
        <v>19</v>
      </c>
      <c r="M362" s="2"/>
    </row>
    <row r="363" spans="1:13" ht="98.1" customHeight="1" x14ac:dyDescent="0.2">
      <c r="A363" s="2" t="s">
        <v>1265</v>
      </c>
      <c r="B363" s="3" t="s">
        <v>14</v>
      </c>
      <c r="C363" s="3" t="s">
        <v>14</v>
      </c>
      <c r="D363" s="2" t="s">
        <v>944</v>
      </c>
      <c r="E363" s="3" t="s">
        <v>14</v>
      </c>
      <c r="F363" s="2" t="s">
        <v>1238</v>
      </c>
      <c r="G363" s="3" t="s">
        <v>14</v>
      </c>
      <c r="H363" s="2" t="s">
        <v>1266</v>
      </c>
      <c r="I363" s="3" t="s">
        <v>14</v>
      </c>
      <c r="J363" s="2" t="s">
        <v>306</v>
      </c>
      <c r="K363" s="4" t="str">
        <f t="shared" si="5"/>
        <v>4Y / 0N</v>
      </c>
      <c r="L363" s="2" t="s">
        <v>19</v>
      </c>
      <c r="M363" s="2"/>
    </row>
    <row r="364" spans="1:13" ht="98.1" customHeight="1" x14ac:dyDescent="0.2">
      <c r="A364" s="2" t="s">
        <v>1267</v>
      </c>
      <c r="B364" s="3" t="s">
        <v>14</v>
      </c>
      <c r="C364" s="3" t="s">
        <v>14</v>
      </c>
      <c r="D364" s="2" t="s">
        <v>944</v>
      </c>
      <c r="E364" s="3" t="s">
        <v>14</v>
      </c>
      <c r="F364" s="2" t="s">
        <v>1238</v>
      </c>
      <c r="G364" s="3" t="s">
        <v>14</v>
      </c>
      <c r="H364" s="2" t="s">
        <v>1268</v>
      </c>
      <c r="I364" s="3" t="s">
        <v>14</v>
      </c>
      <c r="J364" s="2" t="s">
        <v>306</v>
      </c>
      <c r="K364" s="4" t="str">
        <f t="shared" si="5"/>
        <v>4Y / 0N</v>
      </c>
      <c r="L364" s="2" t="s">
        <v>19</v>
      </c>
      <c r="M364" s="2"/>
    </row>
    <row r="365" spans="1:13" ht="98.1" customHeight="1" x14ac:dyDescent="0.2">
      <c r="A365" s="2" t="s">
        <v>1269</v>
      </c>
      <c r="B365" s="3" t="s">
        <v>14</v>
      </c>
      <c r="C365" s="3" t="s">
        <v>14</v>
      </c>
      <c r="D365" s="2" t="s">
        <v>944</v>
      </c>
      <c r="E365" s="3" t="s">
        <v>14</v>
      </c>
      <c r="F365" s="2" t="s">
        <v>1238</v>
      </c>
      <c r="G365" s="3" t="s">
        <v>14</v>
      </c>
      <c r="H365" s="2" t="s">
        <v>838</v>
      </c>
      <c r="I365" s="3" t="s">
        <v>14</v>
      </c>
      <c r="J365" s="2" t="s">
        <v>1270</v>
      </c>
      <c r="K365" s="4" t="str">
        <f t="shared" si="5"/>
        <v>4Y / 0N</v>
      </c>
      <c r="L365" s="2" t="s">
        <v>19</v>
      </c>
      <c r="M365" s="2"/>
    </row>
    <row r="366" spans="1:13" ht="98.1" customHeight="1" x14ac:dyDescent="0.2">
      <c r="A366" s="2" t="s">
        <v>1271</v>
      </c>
      <c r="B366" s="3" t="s">
        <v>14</v>
      </c>
      <c r="C366" s="3" t="s">
        <v>14</v>
      </c>
      <c r="D366" s="2" t="s">
        <v>944</v>
      </c>
      <c r="E366" s="3" t="s">
        <v>14</v>
      </c>
      <c r="F366" s="2" t="s">
        <v>1238</v>
      </c>
      <c r="G366" s="3" t="s">
        <v>14</v>
      </c>
      <c r="H366" s="2" t="s">
        <v>284</v>
      </c>
      <c r="I366" s="3" t="s">
        <v>14</v>
      </c>
      <c r="J366" s="2" t="s">
        <v>306</v>
      </c>
      <c r="K366" s="4" t="str">
        <f t="shared" si="5"/>
        <v>4Y / 0N</v>
      </c>
      <c r="L366" s="2" t="s">
        <v>19</v>
      </c>
      <c r="M366" s="2"/>
    </row>
    <row r="367" spans="1:13" ht="98.1" customHeight="1" x14ac:dyDescent="0.2">
      <c r="A367" s="2" t="s">
        <v>1272</v>
      </c>
      <c r="B367" s="3" t="s">
        <v>14</v>
      </c>
      <c r="C367" s="3" t="s">
        <v>14</v>
      </c>
      <c r="D367" s="2" t="s">
        <v>944</v>
      </c>
      <c r="E367" s="3" t="s">
        <v>14</v>
      </c>
      <c r="F367" s="2" t="s">
        <v>1238</v>
      </c>
      <c r="G367" s="3" t="s">
        <v>14</v>
      </c>
      <c r="H367" s="2" t="s">
        <v>1273</v>
      </c>
      <c r="I367" s="3" t="s">
        <v>14</v>
      </c>
      <c r="J367" s="2" t="s">
        <v>871</v>
      </c>
      <c r="K367" s="4" t="str">
        <f t="shared" si="5"/>
        <v>4Y / 0N</v>
      </c>
      <c r="L367" s="2" t="s">
        <v>19</v>
      </c>
      <c r="M367" s="2"/>
    </row>
    <row r="368" spans="1:13" ht="98.1" customHeight="1" x14ac:dyDescent="0.2">
      <c r="A368" s="2" t="s">
        <v>1274</v>
      </c>
      <c r="B368" s="3" t="s">
        <v>14</v>
      </c>
      <c r="C368" s="3" t="s">
        <v>14</v>
      </c>
      <c r="D368" s="2" t="s">
        <v>944</v>
      </c>
      <c r="E368" s="3" t="s">
        <v>14</v>
      </c>
      <c r="F368" s="2" t="s">
        <v>1238</v>
      </c>
      <c r="G368" s="3" t="s">
        <v>14</v>
      </c>
      <c r="H368" s="2" t="s">
        <v>838</v>
      </c>
      <c r="I368" s="3" t="s">
        <v>14</v>
      </c>
      <c r="J368" s="2" t="s">
        <v>1275</v>
      </c>
      <c r="K368" s="4" t="str">
        <f t="shared" si="5"/>
        <v>4Y / 0N</v>
      </c>
      <c r="L368" s="2" t="s">
        <v>19</v>
      </c>
      <c r="M368" s="2"/>
    </row>
    <row r="369" spans="1:13" ht="98.1" customHeight="1" x14ac:dyDescent="0.2">
      <c r="A369" s="2" t="s">
        <v>1276</v>
      </c>
      <c r="B369" s="3" t="s">
        <v>24</v>
      </c>
      <c r="C369" s="3" t="s">
        <v>14</v>
      </c>
      <c r="D369" s="2" t="s">
        <v>944</v>
      </c>
      <c r="E369" s="3" t="s">
        <v>24</v>
      </c>
      <c r="F369" s="2" t="s">
        <v>1277</v>
      </c>
      <c r="G369" s="3" t="s">
        <v>14</v>
      </c>
      <c r="H369" s="2" t="s">
        <v>799</v>
      </c>
      <c r="I369" s="3" t="s">
        <v>24</v>
      </c>
      <c r="J369" s="2" t="s">
        <v>1278</v>
      </c>
      <c r="K369" s="4" t="str">
        <f t="shared" si="5"/>
        <v>2Y / 2N</v>
      </c>
      <c r="L369" s="2" t="s">
        <v>38</v>
      </c>
      <c r="M369" s="2" t="s">
        <v>202</v>
      </c>
    </row>
    <row r="370" spans="1:13" ht="98.1" customHeight="1" x14ac:dyDescent="0.2">
      <c r="A370" s="2" t="s">
        <v>1279</v>
      </c>
      <c r="B370" s="3" t="s">
        <v>14</v>
      </c>
      <c r="C370" s="3" t="s">
        <v>14</v>
      </c>
      <c r="D370" s="2" t="s">
        <v>944</v>
      </c>
      <c r="E370" s="3" t="s">
        <v>14</v>
      </c>
      <c r="F370" s="2" t="s">
        <v>1238</v>
      </c>
      <c r="G370" s="3" t="s">
        <v>14</v>
      </c>
      <c r="H370" s="2" t="s">
        <v>889</v>
      </c>
      <c r="I370" s="3" t="s">
        <v>14</v>
      </c>
      <c r="J370" s="2" t="s">
        <v>306</v>
      </c>
      <c r="K370" s="4" t="str">
        <f t="shared" si="5"/>
        <v>4Y / 0N</v>
      </c>
      <c r="L370" s="2" t="s">
        <v>19</v>
      </c>
      <c r="M370" s="2"/>
    </row>
    <row r="371" spans="1:13" ht="98.1" customHeight="1" x14ac:dyDescent="0.2">
      <c r="A371" s="2" t="s">
        <v>1280</v>
      </c>
      <c r="B371" s="3" t="s">
        <v>24</v>
      </c>
      <c r="C371" s="3" t="s">
        <v>24</v>
      </c>
      <c r="D371" s="2" t="s">
        <v>1281</v>
      </c>
      <c r="E371" s="3" t="s">
        <v>24</v>
      </c>
      <c r="F371" s="2" t="s">
        <v>686</v>
      </c>
      <c r="G371" s="3" t="s">
        <v>14</v>
      </c>
      <c r="H371" s="2" t="s">
        <v>799</v>
      </c>
      <c r="I371" s="3" t="s">
        <v>24</v>
      </c>
      <c r="J371" s="2" t="s">
        <v>1282</v>
      </c>
      <c r="K371" s="4" t="str">
        <f t="shared" si="5"/>
        <v>1Y / 3N</v>
      </c>
      <c r="L371" s="2" t="s">
        <v>38</v>
      </c>
      <c r="M371" s="2" t="s">
        <v>202</v>
      </c>
    </row>
    <row r="372" spans="1:13" ht="98.1" customHeight="1" x14ac:dyDescent="0.2">
      <c r="A372" s="2" t="s">
        <v>1283</v>
      </c>
      <c r="B372" s="3" t="s">
        <v>14</v>
      </c>
      <c r="C372" s="3" t="s">
        <v>14</v>
      </c>
      <c r="D372" s="2" t="s">
        <v>944</v>
      </c>
      <c r="E372" s="3" t="s">
        <v>14</v>
      </c>
      <c r="F372" s="2" t="s">
        <v>276</v>
      </c>
      <c r="G372" s="3" t="s">
        <v>14</v>
      </c>
      <c r="H372" s="2" t="s">
        <v>1284</v>
      </c>
      <c r="I372" s="3" t="s">
        <v>14</v>
      </c>
      <c r="J372" s="2" t="s">
        <v>306</v>
      </c>
      <c r="K372" s="4" t="str">
        <f t="shared" si="5"/>
        <v>4Y / 0N</v>
      </c>
      <c r="L372" s="2" t="s">
        <v>19</v>
      </c>
      <c r="M372" s="2"/>
    </row>
    <row r="373" spans="1:13" ht="98.1" customHeight="1" x14ac:dyDescent="0.2">
      <c r="A373" s="2" t="s">
        <v>1285</v>
      </c>
      <c r="B373" s="3" t="s">
        <v>14</v>
      </c>
      <c r="C373" s="3" t="s">
        <v>14</v>
      </c>
      <c r="D373" s="2" t="s">
        <v>1286</v>
      </c>
      <c r="E373" s="3" t="s">
        <v>14</v>
      </c>
      <c r="F373" s="2" t="s">
        <v>276</v>
      </c>
      <c r="G373" s="3" t="s">
        <v>14</v>
      </c>
      <c r="H373" s="2" t="s">
        <v>1231</v>
      </c>
      <c r="I373" s="3" t="s">
        <v>14</v>
      </c>
      <c r="J373" s="2" t="s">
        <v>1287</v>
      </c>
      <c r="K373" s="4" t="str">
        <f t="shared" si="5"/>
        <v>4Y / 0N</v>
      </c>
      <c r="L373" s="2" t="s">
        <v>19</v>
      </c>
      <c r="M373" s="2"/>
    </row>
    <row r="374" spans="1:13" ht="98.1" customHeight="1" x14ac:dyDescent="0.2">
      <c r="A374" s="2" t="s">
        <v>1288</v>
      </c>
      <c r="B374" s="3" t="s">
        <v>24</v>
      </c>
      <c r="C374" s="3" t="s">
        <v>24</v>
      </c>
      <c r="D374" s="2" t="s">
        <v>388</v>
      </c>
      <c r="E374" s="3" t="s">
        <v>24</v>
      </c>
      <c r="F374" s="2" t="s">
        <v>278</v>
      </c>
      <c r="G374" s="3" t="s">
        <v>24</v>
      </c>
      <c r="H374" s="2" t="s">
        <v>126</v>
      </c>
      <c r="I374" s="3" t="s">
        <v>24</v>
      </c>
      <c r="J374" s="2" t="s">
        <v>1289</v>
      </c>
      <c r="K374" s="4" t="str">
        <f t="shared" si="5"/>
        <v>0Y / 4N</v>
      </c>
      <c r="L374" s="2" t="s">
        <v>19</v>
      </c>
      <c r="M374" s="2"/>
    </row>
    <row r="375" spans="1:13" ht="98.1" customHeight="1" x14ac:dyDescent="0.2">
      <c r="A375" s="2" t="s">
        <v>1290</v>
      </c>
      <c r="B375" s="3" t="s">
        <v>14</v>
      </c>
      <c r="C375" s="3" t="s">
        <v>14</v>
      </c>
      <c r="D375" s="2" t="s">
        <v>944</v>
      </c>
      <c r="E375" s="3" t="s">
        <v>14</v>
      </c>
      <c r="F375" s="2" t="s">
        <v>276</v>
      </c>
      <c r="G375" s="3" t="s">
        <v>14</v>
      </c>
      <c r="H375" s="2" t="s">
        <v>1291</v>
      </c>
      <c r="I375" s="3" t="s">
        <v>14</v>
      </c>
      <c r="J375" s="2" t="s">
        <v>1292</v>
      </c>
      <c r="K375" s="4" t="str">
        <f t="shared" si="5"/>
        <v>4Y / 0N</v>
      </c>
      <c r="L375" s="2" t="s">
        <v>19</v>
      </c>
      <c r="M375" s="2"/>
    </row>
    <row r="376" spans="1:13" ht="98.1" customHeight="1" x14ac:dyDescent="0.2">
      <c r="A376" s="2" t="s">
        <v>1293</v>
      </c>
      <c r="B376" s="3" t="s">
        <v>14</v>
      </c>
      <c r="C376" s="3" t="s">
        <v>14</v>
      </c>
      <c r="D376" s="2" t="s">
        <v>944</v>
      </c>
      <c r="E376" s="3" t="s">
        <v>14</v>
      </c>
      <c r="F376" s="2" t="s">
        <v>276</v>
      </c>
      <c r="G376" s="3" t="s">
        <v>14</v>
      </c>
      <c r="H376" s="2" t="s">
        <v>1294</v>
      </c>
      <c r="I376" s="3" t="s">
        <v>14</v>
      </c>
      <c r="J376" s="2" t="s">
        <v>323</v>
      </c>
      <c r="K376" s="4" t="str">
        <f t="shared" si="5"/>
        <v>4Y / 0N</v>
      </c>
      <c r="L376" s="2" t="s">
        <v>19</v>
      </c>
      <c r="M376" s="2"/>
    </row>
    <row r="377" spans="1:13" ht="98.1" customHeight="1" x14ac:dyDescent="0.2">
      <c r="A377" s="2" t="s">
        <v>1295</v>
      </c>
      <c r="B377" s="3" t="s">
        <v>14</v>
      </c>
      <c r="C377" s="3" t="s">
        <v>14</v>
      </c>
      <c r="D377" s="2" t="s">
        <v>1286</v>
      </c>
      <c r="E377" s="3" t="s">
        <v>24</v>
      </c>
      <c r="F377" s="2" t="s">
        <v>1296</v>
      </c>
      <c r="G377" s="3" t="s">
        <v>14</v>
      </c>
      <c r="H377" s="2" t="s">
        <v>1297</v>
      </c>
      <c r="I377" s="3" t="s">
        <v>14</v>
      </c>
      <c r="J377" s="2" t="s">
        <v>1298</v>
      </c>
      <c r="K377" s="4" t="str">
        <f t="shared" si="5"/>
        <v>3Y / 1N</v>
      </c>
      <c r="L377" s="2" t="s">
        <v>38</v>
      </c>
      <c r="M377" s="2" t="s">
        <v>104</v>
      </c>
    </row>
    <row r="378" spans="1:13" ht="98.1" customHeight="1" x14ac:dyDescent="0.2">
      <c r="A378" s="2" t="s">
        <v>1299</v>
      </c>
      <c r="B378" s="3" t="s">
        <v>24</v>
      </c>
      <c r="C378" s="3" t="s">
        <v>24</v>
      </c>
      <c r="D378" s="2" t="s">
        <v>1300</v>
      </c>
      <c r="E378" s="3" t="s">
        <v>24</v>
      </c>
      <c r="F378" s="2" t="s">
        <v>771</v>
      </c>
      <c r="G378" s="3" t="s">
        <v>14</v>
      </c>
      <c r="H378" s="2" t="s">
        <v>1301</v>
      </c>
      <c r="I378" s="3" t="s">
        <v>24</v>
      </c>
      <c r="J378" s="2" t="s">
        <v>1302</v>
      </c>
      <c r="K378" s="4" t="str">
        <f t="shared" si="5"/>
        <v>1Y / 3N</v>
      </c>
      <c r="L378" s="2" t="s">
        <v>38</v>
      </c>
      <c r="M378" s="2" t="s">
        <v>217</v>
      </c>
    </row>
    <row r="379" spans="1:13" ht="98.1" customHeight="1" x14ac:dyDescent="0.2">
      <c r="A379" s="2" t="s">
        <v>1303</v>
      </c>
      <c r="B379" s="3" t="s">
        <v>24</v>
      </c>
      <c r="C379" s="3" t="s">
        <v>24</v>
      </c>
      <c r="D379" s="2" t="s">
        <v>1300</v>
      </c>
      <c r="E379" s="3" t="s">
        <v>24</v>
      </c>
      <c r="F379" s="2" t="s">
        <v>1304</v>
      </c>
      <c r="G379" s="3" t="s">
        <v>24</v>
      </c>
      <c r="H379" s="2" t="s">
        <v>1042</v>
      </c>
      <c r="I379" s="3" t="s">
        <v>24</v>
      </c>
      <c r="J379" s="2" t="s">
        <v>1305</v>
      </c>
      <c r="K379" s="4" t="str">
        <f t="shared" si="5"/>
        <v>0Y / 4N</v>
      </c>
      <c r="L379" s="2" t="s">
        <v>19</v>
      </c>
      <c r="M379" s="2"/>
    </row>
    <row r="380" spans="1:13" ht="98.1" customHeight="1" x14ac:dyDescent="0.2">
      <c r="A380" s="2" t="s">
        <v>1306</v>
      </c>
      <c r="B380" s="3" t="s">
        <v>24</v>
      </c>
      <c r="C380" s="3" t="s">
        <v>303</v>
      </c>
      <c r="D380" s="2" t="s">
        <v>1307</v>
      </c>
      <c r="E380" s="3" t="s">
        <v>24</v>
      </c>
      <c r="F380" s="2" t="s">
        <v>1308</v>
      </c>
      <c r="G380" s="3" t="s">
        <v>24</v>
      </c>
      <c r="H380" s="2" t="s">
        <v>1042</v>
      </c>
      <c r="I380" s="3" t="s">
        <v>14</v>
      </c>
      <c r="J380" s="2" t="s">
        <v>1309</v>
      </c>
      <c r="K380" s="4" t="str">
        <f t="shared" si="5"/>
        <v>1Y / 2N / 1 ambiguous</v>
      </c>
      <c r="L380" s="2" t="s">
        <v>38</v>
      </c>
      <c r="M380" s="2" t="s">
        <v>347</v>
      </c>
    </row>
    <row r="381" spans="1:13" ht="98.1" customHeight="1" x14ac:dyDescent="0.2">
      <c r="A381" s="2" t="s">
        <v>1310</v>
      </c>
      <c r="B381" s="3" t="s">
        <v>14</v>
      </c>
      <c r="C381" s="3" t="s">
        <v>14</v>
      </c>
      <c r="D381" s="2" t="s">
        <v>944</v>
      </c>
      <c r="E381" s="3" t="s">
        <v>14</v>
      </c>
      <c r="F381" s="2" t="s">
        <v>276</v>
      </c>
      <c r="G381" s="3" t="s">
        <v>14</v>
      </c>
      <c r="H381" s="2" t="s">
        <v>136</v>
      </c>
      <c r="I381" s="3" t="s">
        <v>14</v>
      </c>
      <c r="J381" s="2" t="s">
        <v>323</v>
      </c>
      <c r="K381" s="4" t="str">
        <f t="shared" si="5"/>
        <v>4Y / 0N</v>
      </c>
      <c r="L381" s="2" t="s">
        <v>19</v>
      </c>
      <c r="M381" s="2"/>
    </row>
    <row r="382" spans="1:13" ht="98.1" customHeight="1" x14ac:dyDescent="0.2">
      <c r="A382" s="2" t="s">
        <v>1311</v>
      </c>
      <c r="B382" s="3" t="s">
        <v>14</v>
      </c>
      <c r="C382" s="3" t="s">
        <v>14</v>
      </c>
      <c r="D382" s="2" t="s">
        <v>944</v>
      </c>
      <c r="E382" s="3" t="s">
        <v>14</v>
      </c>
      <c r="F382" s="2" t="s">
        <v>276</v>
      </c>
      <c r="G382" s="3" t="s">
        <v>14</v>
      </c>
      <c r="H382" s="2" t="s">
        <v>1312</v>
      </c>
      <c r="I382" s="3" t="s">
        <v>14</v>
      </c>
      <c r="J382" s="2" t="s">
        <v>871</v>
      </c>
      <c r="K382" s="4" t="str">
        <f t="shared" si="5"/>
        <v>4Y / 0N</v>
      </c>
      <c r="L382" s="2" t="s">
        <v>19</v>
      </c>
      <c r="M382" s="2"/>
    </row>
    <row r="383" spans="1:13" ht="98.1" customHeight="1" x14ac:dyDescent="0.2">
      <c r="A383" s="2" t="s">
        <v>1313</v>
      </c>
      <c r="B383" s="3" t="s">
        <v>14</v>
      </c>
      <c r="C383" s="3" t="s">
        <v>14</v>
      </c>
      <c r="D383" s="2" t="s">
        <v>944</v>
      </c>
      <c r="E383" s="3" t="s">
        <v>14</v>
      </c>
      <c r="F383" s="2" t="s">
        <v>276</v>
      </c>
      <c r="G383" s="3" t="s">
        <v>14</v>
      </c>
      <c r="H383" s="2" t="s">
        <v>1314</v>
      </c>
      <c r="I383" s="3" t="s">
        <v>14</v>
      </c>
      <c r="J383" s="2" t="s">
        <v>1315</v>
      </c>
      <c r="K383" s="4" t="str">
        <f t="shared" si="5"/>
        <v>4Y / 0N</v>
      </c>
      <c r="L383" s="2" t="s">
        <v>19</v>
      </c>
      <c r="M383" s="2"/>
    </row>
    <row r="384" spans="1:13" ht="98.1" customHeight="1" x14ac:dyDescent="0.2">
      <c r="A384" s="2" t="s">
        <v>1316</v>
      </c>
      <c r="B384" s="3" t="s">
        <v>14</v>
      </c>
      <c r="C384" s="3" t="s">
        <v>14</v>
      </c>
      <c r="D384" s="2" t="s">
        <v>1172</v>
      </c>
      <c r="E384" s="3" t="s">
        <v>14</v>
      </c>
      <c r="F384" s="2" t="s">
        <v>276</v>
      </c>
      <c r="G384" s="3" t="s">
        <v>14</v>
      </c>
      <c r="H384" s="2" t="s">
        <v>1317</v>
      </c>
      <c r="I384" s="3" t="s">
        <v>14</v>
      </c>
      <c r="J384" s="2" t="s">
        <v>306</v>
      </c>
      <c r="K384" s="4" t="str">
        <f t="shared" si="5"/>
        <v>4Y / 0N</v>
      </c>
      <c r="L384" s="2" t="s">
        <v>19</v>
      </c>
      <c r="M384" s="2"/>
    </row>
    <row r="385" spans="1:13" ht="98.1" customHeight="1" x14ac:dyDescent="0.2">
      <c r="A385" s="2" t="s">
        <v>1318</v>
      </c>
      <c r="B385" s="3" t="s">
        <v>14</v>
      </c>
      <c r="C385" s="3" t="s">
        <v>14</v>
      </c>
      <c r="D385" s="2" t="s">
        <v>944</v>
      </c>
      <c r="E385" s="3" t="s">
        <v>14</v>
      </c>
      <c r="F385" s="2" t="s">
        <v>276</v>
      </c>
      <c r="G385" s="3" t="s">
        <v>14</v>
      </c>
      <c r="H385" s="2" t="s">
        <v>1319</v>
      </c>
      <c r="I385" s="3" t="s">
        <v>14</v>
      </c>
      <c r="J385" s="2" t="s">
        <v>306</v>
      </c>
      <c r="K385" s="4" t="str">
        <f t="shared" si="5"/>
        <v>4Y / 0N</v>
      </c>
      <c r="L385" s="2" t="s">
        <v>19</v>
      </c>
      <c r="M385" s="2"/>
    </row>
    <row r="386" spans="1:13" ht="98.1" customHeight="1" x14ac:dyDescent="0.2">
      <c r="A386" s="2" t="s">
        <v>1320</v>
      </c>
      <c r="B386" s="3" t="s">
        <v>14</v>
      </c>
      <c r="C386" s="3" t="s">
        <v>14</v>
      </c>
      <c r="D386" s="2" t="s">
        <v>944</v>
      </c>
      <c r="E386" s="3" t="s">
        <v>14</v>
      </c>
      <c r="F386" s="2" t="s">
        <v>276</v>
      </c>
      <c r="G386" s="3" t="s">
        <v>14</v>
      </c>
      <c r="H386" s="2" t="s">
        <v>1321</v>
      </c>
      <c r="I386" s="3" t="s">
        <v>14</v>
      </c>
      <c r="J386" s="2" t="s">
        <v>457</v>
      </c>
      <c r="K386" s="4" t="str">
        <f t="shared" ref="K386:K449" si="6">(COUNTIF(C386,"Y")+COUNTIF(E386,"Y")+COUNTIF(G386,"Y")+COUNTIF(I386,"Y"))&amp;"Y / "&amp;(COUNTIF(C386,"N")+COUNTIF(E386,"N")+COUNTIF(G386,"N")+COUNTIF(I386,"N"))&amp;"N"&amp;IF(4-(COUNTIF(C386,"Y")+COUNTIF(E386,"Y")+COUNTIF(G386,"Y")+COUNTIF(I386,"Y"))-(COUNTIF(C386,"N")+COUNTIF(E386,"N")+COUNTIF(G386,"N")+COUNTIF(I386,"N"))&gt;0," / "&amp;(4-(COUNTIF(C386,"Y")+COUNTIF(E386,"Y")+COUNTIF(G386,"Y")+COUNTIF(I386,"Y"))-(COUNTIF(C386,"N")+COUNTIF(E386,"N")+COUNTIF(G386,"N")+COUNTIF(I386,"N")))&amp;" ambiguous","")</f>
        <v>4Y / 0N</v>
      </c>
      <c r="L386" s="2" t="s">
        <v>19</v>
      </c>
      <c r="M386" s="2"/>
    </row>
    <row r="387" spans="1:13" ht="98.1" customHeight="1" x14ac:dyDescent="0.2">
      <c r="A387" s="2" t="s">
        <v>1322</v>
      </c>
      <c r="B387" s="3" t="s">
        <v>24</v>
      </c>
      <c r="C387" s="3" t="s">
        <v>24</v>
      </c>
      <c r="D387" s="2" t="s">
        <v>388</v>
      </c>
      <c r="E387" s="3" t="s">
        <v>24</v>
      </c>
      <c r="F387" s="2" t="s">
        <v>240</v>
      </c>
      <c r="G387" s="3" t="s">
        <v>24</v>
      </c>
      <c r="H387" s="2" t="s">
        <v>1186</v>
      </c>
      <c r="I387" s="3" t="s">
        <v>24</v>
      </c>
      <c r="J387" s="2" t="s">
        <v>1323</v>
      </c>
      <c r="K387" s="4" t="str">
        <f t="shared" si="6"/>
        <v>0Y / 4N</v>
      </c>
      <c r="L387" s="2" t="s">
        <v>19</v>
      </c>
      <c r="M387" s="2"/>
    </row>
    <row r="388" spans="1:13" ht="98.1" customHeight="1" x14ac:dyDescent="0.2">
      <c r="A388" s="2" t="s">
        <v>1324</v>
      </c>
      <c r="B388" s="3" t="s">
        <v>24</v>
      </c>
      <c r="C388" s="3" t="s">
        <v>24</v>
      </c>
      <c r="D388" s="2" t="s">
        <v>1325</v>
      </c>
      <c r="E388" s="3" t="s">
        <v>24</v>
      </c>
      <c r="F388" s="2" t="s">
        <v>1326</v>
      </c>
      <c r="G388" s="3" t="s">
        <v>24</v>
      </c>
      <c r="H388" s="2" t="s">
        <v>130</v>
      </c>
      <c r="I388" s="3" t="s">
        <v>24</v>
      </c>
      <c r="J388" s="2" t="s">
        <v>1327</v>
      </c>
      <c r="K388" s="4" t="str">
        <f t="shared" si="6"/>
        <v>0Y / 4N</v>
      </c>
      <c r="L388" s="2" t="s">
        <v>19</v>
      </c>
      <c r="M388" s="2"/>
    </row>
    <row r="389" spans="1:13" ht="98.1" customHeight="1" x14ac:dyDescent="0.2">
      <c r="A389" s="2" t="s">
        <v>1328</v>
      </c>
      <c r="B389" s="3" t="s">
        <v>24</v>
      </c>
      <c r="C389" s="3" t="s">
        <v>24</v>
      </c>
      <c r="D389" s="2" t="s">
        <v>1329</v>
      </c>
      <c r="E389" s="3" t="s">
        <v>24</v>
      </c>
      <c r="F389" s="2" t="s">
        <v>1160</v>
      </c>
      <c r="G389" s="3" t="s">
        <v>24</v>
      </c>
      <c r="H389" s="2" t="s">
        <v>1161</v>
      </c>
      <c r="I389" s="3" t="s">
        <v>24</v>
      </c>
      <c r="J389" s="2" t="s">
        <v>1330</v>
      </c>
      <c r="K389" s="4" t="str">
        <f t="shared" si="6"/>
        <v>0Y / 4N</v>
      </c>
      <c r="L389" s="2" t="s">
        <v>19</v>
      </c>
      <c r="M389" s="2"/>
    </row>
    <row r="390" spans="1:13" ht="98.1" customHeight="1" x14ac:dyDescent="0.2">
      <c r="A390" s="2" t="s">
        <v>1331</v>
      </c>
      <c r="B390" s="3" t="s">
        <v>14</v>
      </c>
      <c r="C390" s="3" t="s">
        <v>14</v>
      </c>
      <c r="D390" s="2" t="s">
        <v>944</v>
      </c>
      <c r="E390" s="3" t="s">
        <v>14</v>
      </c>
      <c r="F390" s="2" t="s">
        <v>276</v>
      </c>
      <c r="G390" s="3" t="s">
        <v>14</v>
      </c>
      <c r="H390" s="2" t="s">
        <v>284</v>
      </c>
      <c r="I390" s="3" t="s">
        <v>14</v>
      </c>
      <c r="J390" s="2" t="s">
        <v>306</v>
      </c>
      <c r="K390" s="4" t="str">
        <f t="shared" si="6"/>
        <v>4Y / 0N</v>
      </c>
      <c r="L390" s="2" t="s">
        <v>19</v>
      </c>
      <c r="M390" s="2"/>
    </row>
    <row r="391" spans="1:13" ht="98.1" customHeight="1" x14ac:dyDescent="0.2">
      <c r="A391" s="2" t="s">
        <v>1332</v>
      </c>
      <c r="B391" s="3" t="s">
        <v>14</v>
      </c>
      <c r="C391" s="3" t="s">
        <v>14</v>
      </c>
      <c r="D391" s="2" t="s">
        <v>944</v>
      </c>
      <c r="E391" s="3" t="s">
        <v>14</v>
      </c>
      <c r="F391" s="2" t="s">
        <v>276</v>
      </c>
      <c r="G391" s="3" t="s">
        <v>14</v>
      </c>
      <c r="H391" s="2" t="s">
        <v>1333</v>
      </c>
      <c r="I391" s="3" t="s">
        <v>14</v>
      </c>
      <c r="J391" s="2" t="s">
        <v>871</v>
      </c>
      <c r="K391" s="4" t="str">
        <f t="shared" si="6"/>
        <v>4Y / 0N</v>
      </c>
      <c r="L391" s="2" t="s">
        <v>19</v>
      </c>
      <c r="M391" s="2"/>
    </row>
    <row r="392" spans="1:13" ht="98.1" customHeight="1" x14ac:dyDescent="0.2">
      <c r="A392" s="2" t="s">
        <v>1334</v>
      </c>
      <c r="B392" s="3" t="s">
        <v>24</v>
      </c>
      <c r="C392" s="3" t="s">
        <v>14</v>
      </c>
      <c r="D392" s="2" t="s">
        <v>944</v>
      </c>
      <c r="E392" s="3" t="s">
        <v>14</v>
      </c>
      <c r="F392" s="2" t="s">
        <v>276</v>
      </c>
      <c r="G392" s="3" t="s">
        <v>14</v>
      </c>
      <c r="H392" s="2" t="s">
        <v>978</v>
      </c>
      <c r="I392" s="3" t="s">
        <v>24</v>
      </c>
      <c r="J392" s="2" t="s">
        <v>1335</v>
      </c>
      <c r="K392" s="4" t="str">
        <f t="shared" si="6"/>
        <v>3Y / 1N</v>
      </c>
      <c r="L392" s="2" t="s">
        <v>38</v>
      </c>
      <c r="M392" s="2" t="s">
        <v>202</v>
      </c>
    </row>
    <row r="393" spans="1:13" ht="98.1" customHeight="1" x14ac:dyDescent="0.2">
      <c r="A393" s="2" t="s">
        <v>1336</v>
      </c>
      <c r="B393" s="3" t="s">
        <v>14</v>
      </c>
      <c r="C393" s="3" t="s">
        <v>14</v>
      </c>
      <c r="D393" s="2" t="s">
        <v>944</v>
      </c>
      <c r="E393" s="3" t="s">
        <v>14</v>
      </c>
      <c r="F393" s="2" t="s">
        <v>276</v>
      </c>
      <c r="G393" s="3" t="s">
        <v>14</v>
      </c>
      <c r="H393" s="2" t="s">
        <v>296</v>
      </c>
      <c r="I393" s="3" t="s">
        <v>14</v>
      </c>
      <c r="J393" s="2" t="s">
        <v>600</v>
      </c>
      <c r="K393" s="4" t="str">
        <f t="shared" si="6"/>
        <v>4Y / 0N</v>
      </c>
      <c r="L393" s="2" t="s">
        <v>19</v>
      </c>
      <c r="M393" s="2"/>
    </row>
    <row r="394" spans="1:13" ht="98.1" customHeight="1" x14ac:dyDescent="0.2">
      <c r="A394" s="2" t="s">
        <v>1337</v>
      </c>
      <c r="B394" s="3" t="s">
        <v>14</v>
      </c>
      <c r="C394" s="3" t="s">
        <v>14</v>
      </c>
      <c r="D394" s="2" t="s">
        <v>944</v>
      </c>
      <c r="E394" s="3" t="s">
        <v>14</v>
      </c>
      <c r="F394" s="2" t="s">
        <v>276</v>
      </c>
      <c r="G394" s="3" t="s">
        <v>14</v>
      </c>
      <c r="H394" s="2" t="s">
        <v>1090</v>
      </c>
      <c r="I394" s="3" t="s">
        <v>14</v>
      </c>
      <c r="J394" s="2" t="s">
        <v>306</v>
      </c>
      <c r="K394" s="4" t="str">
        <f t="shared" si="6"/>
        <v>4Y / 0N</v>
      </c>
      <c r="L394" s="2" t="s">
        <v>19</v>
      </c>
      <c r="M394" s="2"/>
    </row>
    <row r="395" spans="1:13" ht="98.1" customHeight="1" x14ac:dyDescent="0.2">
      <c r="A395" s="2" t="s">
        <v>1338</v>
      </c>
      <c r="B395" s="3" t="s">
        <v>14</v>
      </c>
      <c r="C395" s="3" t="s">
        <v>14</v>
      </c>
      <c r="D395" s="2" t="s">
        <v>944</v>
      </c>
      <c r="E395" s="3" t="s">
        <v>14</v>
      </c>
      <c r="F395" s="2" t="s">
        <v>276</v>
      </c>
      <c r="G395" s="3" t="s">
        <v>14</v>
      </c>
      <c r="H395" s="2" t="s">
        <v>1339</v>
      </c>
      <c r="I395" s="3" t="s">
        <v>14</v>
      </c>
      <c r="J395" s="2" t="s">
        <v>1340</v>
      </c>
      <c r="K395" s="4" t="str">
        <f t="shared" si="6"/>
        <v>4Y / 0N</v>
      </c>
      <c r="L395" s="2" t="s">
        <v>19</v>
      </c>
      <c r="M395" s="2"/>
    </row>
    <row r="396" spans="1:13" ht="98.1" customHeight="1" x14ac:dyDescent="0.2">
      <c r="A396" s="2" t="s">
        <v>1341</v>
      </c>
      <c r="B396" s="3" t="s">
        <v>24</v>
      </c>
      <c r="C396" s="3" t="s">
        <v>24</v>
      </c>
      <c r="D396" s="2" t="s">
        <v>388</v>
      </c>
      <c r="E396" s="3" t="s">
        <v>24</v>
      </c>
      <c r="F396" s="2" t="s">
        <v>278</v>
      </c>
      <c r="G396" s="3" t="s">
        <v>24</v>
      </c>
      <c r="H396" s="2" t="s">
        <v>126</v>
      </c>
      <c r="I396" s="3" t="s">
        <v>24</v>
      </c>
      <c r="J396" s="2" t="s">
        <v>1342</v>
      </c>
      <c r="K396" s="4" t="str">
        <f t="shared" si="6"/>
        <v>0Y / 4N</v>
      </c>
      <c r="L396" s="2" t="s">
        <v>19</v>
      </c>
      <c r="M396" s="2"/>
    </row>
    <row r="397" spans="1:13" ht="98.1" customHeight="1" x14ac:dyDescent="0.2">
      <c r="A397" s="2" t="s">
        <v>1343</v>
      </c>
      <c r="B397" s="3" t="s">
        <v>14</v>
      </c>
      <c r="C397" s="3" t="s">
        <v>14</v>
      </c>
      <c r="D397" s="2" t="s">
        <v>944</v>
      </c>
      <c r="E397" s="3" t="s">
        <v>14</v>
      </c>
      <c r="F397" s="2" t="s">
        <v>276</v>
      </c>
      <c r="G397" s="3" t="s">
        <v>14</v>
      </c>
      <c r="H397" s="2" t="s">
        <v>284</v>
      </c>
      <c r="I397" s="3" t="s">
        <v>14</v>
      </c>
      <c r="J397" s="2" t="s">
        <v>457</v>
      </c>
      <c r="K397" s="4" t="str">
        <f t="shared" si="6"/>
        <v>4Y / 0N</v>
      </c>
      <c r="L397" s="2" t="s">
        <v>19</v>
      </c>
      <c r="M397" s="2"/>
    </row>
    <row r="398" spans="1:13" ht="98.1" customHeight="1" x14ac:dyDescent="0.2">
      <c r="A398" s="2" t="s">
        <v>1344</v>
      </c>
      <c r="B398" s="3" t="s">
        <v>24</v>
      </c>
      <c r="C398" s="3" t="s">
        <v>24</v>
      </c>
      <c r="D398" s="2" t="s">
        <v>1345</v>
      </c>
      <c r="E398" s="3" t="s">
        <v>14</v>
      </c>
      <c r="F398" s="2" t="s">
        <v>1238</v>
      </c>
      <c r="G398" s="3" t="s">
        <v>14</v>
      </c>
      <c r="H398" s="2" t="s">
        <v>1346</v>
      </c>
      <c r="I398" s="3" t="s">
        <v>14</v>
      </c>
      <c r="J398" s="2" t="s">
        <v>306</v>
      </c>
      <c r="K398" s="4" t="str">
        <f t="shared" si="6"/>
        <v>3Y / 1N</v>
      </c>
      <c r="L398" s="2" t="s">
        <v>38</v>
      </c>
      <c r="M398" s="2" t="s">
        <v>545</v>
      </c>
    </row>
    <row r="399" spans="1:13" ht="98.1" customHeight="1" x14ac:dyDescent="0.2">
      <c r="A399" s="2" t="s">
        <v>1347</v>
      </c>
      <c r="B399" s="3" t="s">
        <v>14</v>
      </c>
      <c r="C399" s="3" t="s">
        <v>14</v>
      </c>
      <c r="D399" s="2" t="s">
        <v>944</v>
      </c>
      <c r="E399" s="3" t="s">
        <v>14</v>
      </c>
      <c r="F399" s="2" t="s">
        <v>1238</v>
      </c>
      <c r="G399" s="3" t="s">
        <v>14</v>
      </c>
      <c r="H399" s="2" t="s">
        <v>1348</v>
      </c>
      <c r="I399" s="3" t="s">
        <v>24</v>
      </c>
      <c r="J399" s="2" t="s">
        <v>1349</v>
      </c>
      <c r="K399" s="4" t="str">
        <f t="shared" si="6"/>
        <v>3Y / 1N</v>
      </c>
      <c r="L399" s="2" t="s">
        <v>26</v>
      </c>
      <c r="M399" s="2" t="s">
        <v>120</v>
      </c>
    </row>
    <row r="400" spans="1:13" ht="98.1" customHeight="1" x14ac:dyDescent="0.2">
      <c r="A400" s="2" t="s">
        <v>1350</v>
      </c>
      <c r="B400" s="3" t="s">
        <v>24</v>
      </c>
      <c r="C400" s="3" t="s">
        <v>24</v>
      </c>
      <c r="D400" s="2" t="s">
        <v>1351</v>
      </c>
      <c r="E400" s="3" t="s">
        <v>24</v>
      </c>
      <c r="F400" s="2" t="s">
        <v>771</v>
      </c>
      <c r="G400" s="3" t="s">
        <v>24</v>
      </c>
      <c r="H400" s="2" t="s">
        <v>628</v>
      </c>
      <c r="I400" s="3" t="s">
        <v>24</v>
      </c>
      <c r="J400" s="2" t="s">
        <v>1352</v>
      </c>
      <c r="K400" s="4" t="str">
        <f t="shared" si="6"/>
        <v>0Y / 4N</v>
      </c>
      <c r="L400" s="2" t="s">
        <v>19</v>
      </c>
      <c r="M400" s="2"/>
    </row>
    <row r="401" spans="1:13" ht="98.1" customHeight="1" x14ac:dyDescent="0.2">
      <c r="A401" s="2" t="s">
        <v>1353</v>
      </c>
      <c r="B401" s="3" t="s">
        <v>24</v>
      </c>
      <c r="C401" s="3" t="s">
        <v>24</v>
      </c>
      <c r="D401" s="2" t="s">
        <v>1351</v>
      </c>
      <c r="E401" s="3" t="s">
        <v>24</v>
      </c>
      <c r="F401" s="2" t="s">
        <v>771</v>
      </c>
      <c r="G401" s="3" t="s">
        <v>24</v>
      </c>
      <c r="H401" s="2" t="s">
        <v>1354</v>
      </c>
      <c r="I401" s="3" t="s">
        <v>24</v>
      </c>
      <c r="J401" s="2" t="s">
        <v>1355</v>
      </c>
      <c r="K401" s="4" t="str">
        <f t="shared" si="6"/>
        <v>0Y / 4N</v>
      </c>
      <c r="L401" s="2" t="s">
        <v>19</v>
      </c>
      <c r="M401" s="2"/>
    </row>
    <row r="402" spans="1:13" ht="98.1" customHeight="1" x14ac:dyDescent="0.2">
      <c r="A402" s="2" t="s">
        <v>1356</v>
      </c>
      <c r="B402" s="3" t="s">
        <v>24</v>
      </c>
      <c r="C402" s="3" t="s">
        <v>24</v>
      </c>
      <c r="D402" s="2" t="s">
        <v>1357</v>
      </c>
      <c r="E402" s="3" t="s">
        <v>24</v>
      </c>
      <c r="F402" s="2" t="s">
        <v>1358</v>
      </c>
      <c r="G402" s="3" t="s">
        <v>24</v>
      </c>
      <c r="H402" s="2" t="s">
        <v>400</v>
      </c>
      <c r="I402" s="3" t="s">
        <v>24</v>
      </c>
      <c r="J402" s="2" t="s">
        <v>1359</v>
      </c>
      <c r="K402" s="4" t="str">
        <f t="shared" si="6"/>
        <v>0Y / 4N</v>
      </c>
      <c r="L402" s="2" t="s">
        <v>19</v>
      </c>
      <c r="M402" s="2"/>
    </row>
    <row r="403" spans="1:13" ht="98.1" customHeight="1" x14ac:dyDescent="0.2">
      <c r="A403" s="2" t="s">
        <v>1360</v>
      </c>
      <c r="B403" s="3" t="s">
        <v>14</v>
      </c>
      <c r="C403" s="3" t="s">
        <v>14</v>
      </c>
      <c r="D403" s="2" t="s">
        <v>944</v>
      </c>
      <c r="E403" s="3" t="s">
        <v>14</v>
      </c>
      <c r="F403" s="2" t="s">
        <v>276</v>
      </c>
      <c r="G403" s="3" t="s">
        <v>14</v>
      </c>
      <c r="H403" s="2" t="s">
        <v>136</v>
      </c>
      <c r="I403" s="3" t="s">
        <v>14</v>
      </c>
      <c r="J403" s="2" t="s">
        <v>1361</v>
      </c>
      <c r="K403" s="4" t="str">
        <f t="shared" si="6"/>
        <v>4Y / 0N</v>
      </c>
      <c r="L403" s="2" t="s">
        <v>19</v>
      </c>
      <c r="M403" s="2"/>
    </row>
    <row r="404" spans="1:13" ht="98.1" customHeight="1" x14ac:dyDescent="0.2">
      <c r="A404" s="2" t="s">
        <v>1362</v>
      </c>
      <c r="B404" s="3" t="s">
        <v>24</v>
      </c>
      <c r="C404" s="3" t="s">
        <v>24</v>
      </c>
      <c r="D404" s="2" t="s">
        <v>1363</v>
      </c>
      <c r="E404" s="3" t="s">
        <v>24</v>
      </c>
      <c r="F404" s="2" t="s">
        <v>1364</v>
      </c>
      <c r="G404" s="3" t="s">
        <v>24</v>
      </c>
      <c r="H404" s="2" t="s">
        <v>206</v>
      </c>
      <c r="I404" s="3" t="s">
        <v>24</v>
      </c>
      <c r="J404" s="2" t="s">
        <v>1365</v>
      </c>
      <c r="K404" s="4" t="str">
        <f t="shared" si="6"/>
        <v>0Y / 4N</v>
      </c>
      <c r="L404" s="2" t="s">
        <v>19</v>
      </c>
      <c r="M404" s="2"/>
    </row>
    <row r="405" spans="1:13" ht="98.1" customHeight="1" x14ac:dyDescent="0.2">
      <c r="A405" s="2" t="s">
        <v>1366</v>
      </c>
      <c r="B405" s="3" t="s">
        <v>14</v>
      </c>
      <c r="C405" s="3" t="s">
        <v>14</v>
      </c>
      <c r="D405" s="2" t="s">
        <v>944</v>
      </c>
      <c r="E405" s="3" t="s">
        <v>14</v>
      </c>
      <c r="F405" s="2" t="s">
        <v>1238</v>
      </c>
      <c r="G405" s="3" t="s">
        <v>14</v>
      </c>
      <c r="H405" s="2" t="s">
        <v>1367</v>
      </c>
      <c r="I405" s="3" t="s">
        <v>14</v>
      </c>
      <c r="J405" s="2" t="s">
        <v>306</v>
      </c>
      <c r="K405" s="4" t="str">
        <f t="shared" si="6"/>
        <v>4Y / 0N</v>
      </c>
      <c r="L405" s="2" t="s">
        <v>19</v>
      </c>
      <c r="M405" s="2"/>
    </row>
    <row r="406" spans="1:13" ht="98.1" customHeight="1" x14ac:dyDescent="0.2">
      <c r="A406" s="2" t="s">
        <v>1368</v>
      </c>
      <c r="B406" s="3" t="s">
        <v>14</v>
      </c>
      <c r="C406" s="3" t="s">
        <v>14</v>
      </c>
      <c r="D406" s="2" t="s">
        <v>944</v>
      </c>
      <c r="E406" s="3" t="s">
        <v>14</v>
      </c>
      <c r="F406" s="2" t="s">
        <v>1369</v>
      </c>
      <c r="G406" s="3" t="s">
        <v>14</v>
      </c>
      <c r="H406" s="2" t="s">
        <v>1370</v>
      </c>
      <c r="I406" s="3" t="s">
        <v>14</v>
      </c>
      <c r="J406" s="2" t="s">
        <v>323</v>
      </c>
      <c r="K406" s="4" t="str">
        <f t="shared" si="6"/>
        <v>4Y / 0N</v>
      </c>
      <c r="L406" s="2" t="s">
        <v>19</v>
      </c>
      <c r="M406" s="2"/>
    </row>
    <row r="407" spans="1:13" ht="98.1" customHeight="1" x14ac:dyDescent="0.2">
      <c r="A407" s="2" t="s">
        <v>1371</v>
      </c>
      <c r="B407" s="3" t="s">
        <v>14</v>
      </c>
      <c r="C407" s="3" t="s">
        <v>14</v>
      </c>
      <c r="D407" s="2" t="s">
        <v>944</v>
      </c>
      <c r="E407" s="3" t="s">
        <v>14</v>
      </c>
      <c r="F407" s="2" t="s">
        <v>276</v>
      </c>
      <c r="G407" s="3" t="s">
        <v>14</v>
      </c>
      <c r="H407" s="2" t="s">
        <v>1169</v>
      </c>
      <c r="I407" s="3" t="s">
        <v>14</v>
      </c>
      <c r="J407" s="2" t="s">
        <v>306</v>
      </c>
      <c r="K407" s="4" t="str">
        <f t="shared" si="6"/>
        <v>4Y / 0N</v>
      </c>
      <c r="L407" s="2" t="s">
        <v>19</v>
      </c>
      <c r="M407" s="2"/>
    </row>
    <row r="408" spans="1:13" ht="98.1" customHeight="1" x14ac:dyDescent="0.2">
      <c r="A408" s="2" t="s">
        <v>1372</v>
      </c>
      <c r="B408" s="3" t="s">
        <v>24</v>
      </c>
      <c r="C408" s="3" t="s">
        <v>14</v>
      </c>
      <c r="D408" s="2" t="s">
        <v>944</v>
      </c>
      <c r="E408" s="3" t="s">
        <v>24</v>
      </c>
      <c r="F408" s="2" t="s">
        <v>1373</v>
      </c>
      <c r="G408" s="3" t="s">
        <v>14</v>
      </c>
      <c r="H408" s="2" t="s">
        <v>284</v>
      </c>
      <c r="I408" s="3" t="s">
        <v>24</v>
      </c>
      <c r="J408" s="2" t="s">
        <v>1374</v>
      </c>
      <c r="K408" s="4" t="str">
        <f t="shared" si="6"/>
        <v>2Y / 2N</v>
      </c>
      <c r="L408" s="2" t="s">
        <v>38</v>
      </c>
      <c r="M408" s="2" t="s">
        <v>202</v>
      </c>
    </row>
    <row r="409" spans="1:13" ht="98.1" customHeight="1" x14ac:dyDescent="0.2">
      <c r="A409" s="2" t="s">
        <v>1375</v>
      </c>
      <c r="B409" s="3" t="s">
        <v>24</v>
      </c>
      <c r="C409" s="3" t="s">
        <v>24</v>
      </c>
      <c r="D409" s="2" t="s">
        <v>1376</v>
      </c>
      <c r="E409" s="3" t="s">
        <v>24</v>
      </c>
      <c r="F409" s="2" t="s">
        <v>1377</v>
      </c>
      <c r="G409" s="3" t="s">
        <v>24</v>
      </c>
      <c r="H409" s="2" t="s">
        <v>1042</v>
      </c>
      <c r="I409" s="3" t="s">
        <v>24</v>
      </c>
      <c r="J409" s="2" t="s">
        <v>1378</v>
      </c>
      <c r="K409" s="4" t="str">
        <f t="shared" si="6"/>
        <v>0Y / 4N</v>
      </c>
      <c r="L409" s="2" t="s">
        <v>19</v>
      </c>
      <c r="M409" s="2"/>
    </row>
    <row r="410" spans="1:13" ht="98.1" customHeight="1" x14ac:dyDescent="0.2">
      <c r="A410" s="2" t="s">
        <v>1379</v>
      </c>
      <c r="B410" s="3" t="s">
        <v>14</v>
      </c>
      <c r="C410" s="3" t="s">
        <v>14</v>
      </c>
      <c r="D410" s="2" t="s">
        <v>944</v>
      </c>
      <c r="E410" s="3" t="s">
        <v>14</v>
      </c>
      <c r="F410" s="2" t="s">
        <v>276</v>
      </c>
      <c r="G410" s="3" t="s">
        <v>14</v>
      </c>
      <c r="H410" s="2" t="s">
        <v>1380</v>
      </c>
      <c r="I410" s="3" t="s">
        <v>14</v>
      </c>
      <c r="J410" s="2" t="s">
        <v>1210</v>
      </c>
      <c r="K410" s="4" t="str">
        <f t="shared" si="6"/>
        <v>4Y / 0N</v>
      </c>
      <c r="L410" s="2" t="s">
        <v>19</v>
      </c>
      <c r="M410" s="2"/>
    </row>
    <row r="411" spans="1:13" ht="98.1" customHeight="1" x14ac:dyDescent="0.2">
      <c r="A411" s="2" t="s">
        <v>1381</v>
      </c>
      <c r="B411" s="3" t="s">
        <v>14</v>
      </c>
      <c r="C411" s="3" t="s">
        <v>14</v>
      </c>
      <c r="D411" s="2" t="s">
        <v>944</v>
      </c>
      <c r="E411" s="3" t="s">
        <v>14</v>
      </c>
      <c r="F411" s="2" t="s">
        <v>276</v>
      </c>
      <c r="G411" s="3" t="s">
        <v>14</v>
      </c>
      <c r="H411" s="2" t="s">
        <v>880</v>
      </c>
      <c r="I411" s="3" t="s">
        <v>24</v>
      </c>
      <c r="J411" s="2" t="s">
        <v>1382</v>
      </c>
      <c r="K411" s="4" t="str">
        <f t="shared" si="6"/>
        <v>3Y / 1N</v>
      </c>
      <c r="L411" s="2" t="s">
        <v>38</v>
      </c>
      <c r="M411" s="2" t="s">
        <v>110</v>
      </c>
    </row>
    <row r="412" spans="1:13" ht="98.1" customHeight="1" x14ac:dyDescent="0.2">
      <c r="A412" s="2" t="s">
        <v>1383</v>
      </c>
      <c r="B412" s="3" t="s">
        <v>14</v>
      </c>
      <c r="C412" s="3" t="s">
        <v>14</v>
      </c>
      <c r="D412" s="2" t="s">
        <v>944</v>
      </c>
      <c r="E412" s="3" t="s">
        <v>14</v>
      </c>
      <c r="F412" s="2" t="s">
        <v>276</v>
      </c>
      <c r="G412" s="3" t="s">
        <v>14</v>
      </c>
      <c r="H412" s="2" t="s">
        <v>427</v>
      </c>
      <c r="I412" s="3" t="s">
        <v>14</v>
      </c>
      <c r="J412" s="2" t="s">
        <v>323</v>
      </c>
      <c r="K412" s="4" t="str">
        <f t="shared" si="6"/>
        <v>4Y / 0N</v>
      </c>
      <c r="L412" s="2" t="s">
        <v>19</v>
      </c>
      <c r="M412" s="2"/>
    </row>
    <row r="413" spans="1:13" ht="98.1" customHeight="1" x14ac:dyDescent="0.2">
      <c r="A413" s="2" t="s">
        <v>1384</v>
      </c>
      <c r="B413" s="3" t="s">
        <v>24</v>
      </c>
      <c r="C413" s="3" t="s">
        <v>14</v>
      </c>
      <c r="D413" s="2" t="s">
        <v>944</v>
      </c>
      <c r="E413" s="3" t="s">
        <v>14</v>
      </c>
      <c r="F413" s="2" t="s">
        <v>276</v>
      </c>
      <c r="G413" s="3" t="s">
        <v>14</v>
      </c>
      <c r="H413" s="2" t="s">
        <v>1321</v>
      </c>
      <c r="I413" s="3" t="s">
        <v>24</v>
      </c>
      <c r="J413" s="2" t="s">
        <v>1385</v>
      </c>
      <c r="K413" s="4" t="str">
        <f t="shared" si="6"/>
        <v>3Y / 1N</v>
      </c>
      <c r="L413" s="2" t="s">
        <v>38</v>
      </c>
      <c r="M413" s="2" t="s">
        <v>39</v>
      </c>
    </row>
    <row r="414" spans="1:13" ht="98.1" customHeight="1" x14ac:dyDescent="0.2">
      <c r="A414" s="2" t="s">
        <v>1386</v>
      </c>
      <c r="B414" s="3" t="s">
        <v>24</v>
      </c>
      <c r="C414" s="3" t="s">
        <v>24</v>
      </c>
      <c r="D414" s="2" t="s">
        <v>1387</v>
      </c>
      <c r="E414" s="3" t="s">
        <v>14</v>
      </c>
      <c r="F414" s="2" t="s">
        <v>276</v>
      </c>
      <c r="G414" s="3" t="s">
        <v>14</v>
      </c>
      <c r="H414" s="2" t="s">
        <v>99</v>
      </c>
      <c r="I414" s="3" t="s">
        <v>14</v>
      </c>
      <c r="J414" s="2" t="s">
        <v>1388</v>
      </c>
      <c r="K414" s="4" t="str">
        <f t="shared" si="6"/>
        <v>3Y / 1N</v>
      </c>
      <c r="L414" s="2" t="s">
        <v>38</v>
      </c>
      <c r="M414" s="2" t="s">
        <v>1389</v>
      </c>
    </row>
    <row r="415" spans="1:13" ht="98.1" customHeight="1" x14ac:dyDescent="0.2">
      <c r="A415" s="2" t="s">
        <v>1390</v>
      </c>
      <c r="B415" s="3" t="s">
        <v>14</v>
      </c>
      <c r="C415" s="3" t="s">
        <v>14</v>
      </c>
      <c r="D415" s="2" t="s">
        <v>944</v>
      </c>
      <c r="E415" s="3" t="s">
        <v>14</v>
      </c>
      <c r="F415" s="2" t="s">
        <v>276</v>
      </c>
      <c r="G415" s="3" t="s">
        <v>14</v>
      </c>
      <c r="H415" s="2" t="s">
        <v>1391</v>
      </c>
      <c r="I415" s="3" t="s">
        <v>14</v>
      </c>
      <c r="J415" s="2" t="s">
        <v>306</v>
      </c>
      <c r="K415" s="4" t="str">
        <f t="shared" si="6"/>
        <v>4Y / 0N</v>
      </c>
      <c r="L415" s="2" t="s">
        <v>19</v>
      </c>
      <c r="M415" s="2"/>
    </row>
    <row r="416" spans="1:13" ht="98.1" customHeight="1" x14ac:dyDescent="0.2">
      <c r="A416" s="2" t="s">
        <v>1392</v>
      </c>
      <c r="B416" s="3" t="s">
        <v>24</v>
      </c>
      <c r="C416" s="3" t="s">
        <v>24</v>
      </c>
      <c r="D416" s="2" t="s">
        <v>39</v>
      </c>
      <c r="E416" s="3" t="s">
        <v>24</v>
      </c>
      <c r="F416" s="2" t="s">
        <v>1393</v>
      </c>
      <c r="G416" s="3" t="s">
        <v>24</v>
      </c>
      <c r="H416" s="2" t="s">
        <v>126</v>
      </c>
      <c r="I416" s="3" t="s">
        <v>24</v>
      </c>
      <c r="J416" s="2" t="s">
        <v>1394</v>
      </c>
      <c r="K416" s="4" t="str">
        <f t="shared" si="6"/>
        <v>0Y / 4N</v>
      </c>
      <c r="L416" s="2" t="s">
        <v>19</v>
      </c>
      <c r="M416" s="2"/>
    </row>
    <row r="417" spans="1:13" ht="98.1" customHeight="1" x14ac:dyDescent="0.2">
      <c r="A417" s="2" t="s">
        <v>1395</v>
      </c>
      <c r="B417" s="3" t="s">
        <v>14</v>
      </c>
      <c r="C417" s="3" t="s">
        <v>14</v>
      </c>
      <c r="D417" s="2" t="s">
        <v>944</v>
      </c>
      <c r="E417" s="3" t="s">
        <v>14</v>
      </c>
      <c r="F417" s="2" t="s">
        <v>741</v>
      </c>
      <c r="G417" s="3" t="s">
        <v>14</v>
      </c>
      <c r="H417" s="2" t="s">
        <v>92</v>
      </c>
      <c r="I417" s="3" t="s">
        <v>14</v>
      </c>
      <c r="J417" s="2" t="s">
        <v>1396</v>
      </c>
      <c r="K417" s="4" t="str">
        <f t="shared" si="6"/>
        <v>4Y / 0N</v>
      </c>
      <c r="L417" s="2" t="s">
        <v>19</v>
      </c>
      <c r="M417" s="2"/>
    </row>
    <row r="418" spans="1:13" ht="98.1" customHeight="1" x14ac:dyDescent="0.2">
      <c r="A418" s="2" t="s">
        <v>1397</v>
      </c>
      <c r="B418" s="3" t="s">
        <v>14</v>
      </c>
      <c r="C418" s="3" t="s">
        <v>14</v>
      </c>
      <c r="D418" s="2" t="s">
        <v>944</v>
      </c>
      <c r="E418" s="3" t="s">
        <v>14</v>
      </c>
      <c r="F418" s="2" t="s">
        <v>276</v>
      </c>
      <c r="G418" s="3" t="s">
        <v>14</v>
      </c>
      <c r="H418" s="2" t="s">
        <v>1398</v>
      </c>
      <c r="I418" s="3" t="s">
        <v>14</v>
      </c>
      <c r="J418" s="2" t="s">
        <v>306</v>
      </c>
      <c r="K418" s="4" t="str">
        <f t="shared" si="6"/>
        <v>4Y / 0N</v>
      </c>
      <c r="L418" s="2" t="s">
        <v>19</v>
      </c>
      <c r="M418" s="2"/>
    </row>
    <row r="419" spans="1:13" ht="98.1" customHeight="1" x14ac:dyDescent="0.2">
      <c r="A419" s="2" t="s">
        <v>1399</v>
      </c>
      <c r="B419" s="3" t="s">
        <v>24</v>
      </c>
      <c r="C419" s="3" t="s">
        <v>24</v>
      </c>
      <c r="D419" s="2" t="s">
        <v>388</v>
      </c>
      <c r="E419" s="3" t="s">
        <v>24</v>
      </c>
      <c r="F419" s="2" t="s">
        <v>846</v>
      </c>
      <c r="G419" s="3" t="s">
        <v>24</v>
      </c>
      <c r="H419" s="2" t="s">
        <v>126</v>
      </c>
      <c r="I419" s="3" t="s">
        <v>24</v>
      </c>
      <c r="J419" s="2" t="s">
        <v>1400</v>
      </c>
      <c r="K419" s="4" t="str">
        <f t="shared" si="6"/>
        <v>0Y / 4N</v>
      </c>
      <c r="L419" s="2" t="s">
        <v>19</v>
      </c>
      <c r="M419" s="2"/>
    </row>
    <row r="420" spans="1:13" ht="98.1" customHeight="1" x14ac:dyDescent="0.2">
      <c r="A420" s="2" t="s">
        <v>1401</v>
      </c>
      <c r="B420" s="3" t="s">
        <v>14</v>
      </c>
      <c r="C420" s="3" t="s">
        <v>14</v>
      </c>
      <c r="D420" s="2" t="s">
        <v>944</v>
      </c>
      <c r="E420" s="3" t="s">
        <v>14</v>
      </c>
      <c r="F420" s="2" t="s">
        <v>260</v>
      </c>
      <c r="G420" s="3" t="s">
        <v>14</v>
      </c>
      <c r="H420" s="2" t="s">
        <v>1402</v>
      </c>
      <c r="I420" s="3" t="s">
        <v>14</v>
      </c>
      <c r="J420" s="2" t="s">
        <v>935</v>
      </c>
      <c r="K420" s="4" t="str">
        <f t="shared" si="6"/>
        <v>4Y / 0N</v>
      </c>
      <c r="L420" s="2" t="s">
        <v>19</v>
      </c>
      <c r="M420" s="2"/>
    </row>
    <row r="421" spans="1:13" ht="98.1" customHeight="1" x14ac:dyDescent="0.2">
      <c r="A421" s="2" t="s">
        <v>1403</v>
      </c>
      <c r="B421" s="3" t="s">
        <v>14</v>
      </c>
      <c r="C421" s="3" t="s">
        <v>24</v>
      </c>
      <c r="D421" s="2" t="s">
        <v>1404</v>
      </c>
      <c r="E421" s="3" t="s">
        <v>24</v>
      </c>
      <c r="F421" s="2" t="s">
        <v>1134</v>
      </c>
      <c r="G421" s="3" t="s">
        <v>14</v>
      </c>
      <c r="H421" s="2" t="s">
        <v>1405</v>
      </c>
      <c r="I421" s="3" t="s">
        <v>14</v>
      </c>
      <c r="J421" s="2" t="s">
        <v>1406</v>
      </c>
      <c r="K421" s="4" t="str">
        <f t="shared" si="6"/>
        <v>2Y / 2N</v>
      </c>
      <c r="L421" s="2" t="s">
        <v>38</v>
      </c>
      <c r="M421" s="2" t="s">
        <v>104</v>
      </c>
    </row>
    <row r="422" spans="1:13" ht="98.1" customHeight="1" x14ac:dyDescent="0.2">
      <c r="A422" s="2" t="s">
        <v>1407</v>
      </c>
      <c r="B422" s="3" t="s">
        <v>14</v>
      </c>
      <c r="C422" s="3" t="s">
        <v>14</v>
      </c>
      <c r="D422" s="2" t="s">
        <v>944</v>
      </c>
      <c r="E422" s="3" t="s">
        <v>14</v>
      </c>
      <c r="F422" s="2" t="s">
        <v>260</v>
      </c>
      <c r="G422" s="3" t="s">
        <v>14</v>
      </c>
      <c r="H422" s="2" t="s">
        <v>1408</v>
      </c>
      <c r="I422" s="3" t="s">
        <v>14</v>
      </c>
      <c r="J422" s="2" t="s">
        <v>306</v>
      </c>
      <c r="K422" s="4" t="str">
        <f t="shared" si="6"/>
        <v>4Y / 0N</v>
      </c>
      <c r="L422" s="2" t="s">
        <v>19</v>
      </c>
      <c r="M422" s="2"/>
    </row>
    <row r="423" spans="1:13" ht="98.1" customHeight="1" x14ac:dyDescent="0.2">
      <c r="A423" s="2" t="s">
        <v>1409</v>
      </c>
      <c r="B423" s="3" t="s">
        <v>24</v>
      </c>
      <c r="C423" s="3" t="s">
        <v>24</v>
      </c>
      <c r="D423" s="2" t="s">
        <v>388</v>
      </c>
      <c r="E423" s="3" t="s">
        <v>24</v>
      </c>
      <c r="F423" s="2" t="s">
        <v>1134</v>
      </c>
      <c r="G423" s="3" t="s">
        <v>24</v>
      </c>
      <c r="H423" s="2" t="s">
        <v>1410</v>
      </c>
      <c r="I423" s="3" t="s">
        <v>24</v>
      </c>
      <c r="J423" s="2" t="s">
        <v>1411</v>
      </c>
      <c r="K423" s="4" t="str">
        <f t="shared" si="6"/>
        <v>0Y / 4N</v>
      </c>
      <c r="L423" s="2" t="s">
        <v>19</v>
      </c>
      <c r="M423" s="2"/>
    </row>
    <row r="424" spans="1:13" ht="98.1" customHeight="1" x14ac:dyDescent="0.2">
      <c r="A424" s="2" t="s">
        <v>1412</v>
      </c>
      <c r="B424" s="3" t="s">
        <v>14</v>
      </c>
      <c r="C424" s="3" t="s">
        <v>14</v>
      </c>
      <c r="D424" s="2" t="s">
        <v>944</v>
      </c>
      <c r="E424" s="3" t="s">
        <v>14</v>
      </c>
      <c r="F424" s="2" t="s">
        <v>276</v>
      </c>
      <c r="G424" s="3" t="s">
        <v>14</v>
      </c>
      <c r="H424" s="2" t="s">
        <v>1209</v>
      </c>
      <c r="I424" s="3" t="s">
        <v>14</v>
      </c>
      <c r="J424" s="2" t="s">
        <v>306</v>
      </c>
      <c r="K424" s="4" t="str">
        <f t="shared" si="6"/>
        <v>4Y / 0N</v>
      </c>
      <c r="L424" s="2" t="s">
        <v>19</v>
      </c>
      <c r="M424" s="2"/>
    </row>
    <row r="425" spans="1:13" ht="98.1" customHeight="1" x14ac:dyDescent="0.2">
      <c r="A425" s="2" t="s">
        <v>1413</v>
      </c>
      <c r="B425" s="3" t="s">
        <v>14</v>
      </c>
      <c r="C425" s="3" t="s">
        <v>14</v>
      </c>
      <c r="D425" s="2" t="s">
        <v>944</v>
      </c>
      <c r="E425" s="3" t="s">
        <v>14</v>
      </c>
      <c r="F425" s="2" t="s">
        <v>276</v>
      </c>
      <c r="G425" s="3" t="s">
        <v>14</v>
      </c>
      <c r="H425" s="2" t="s">
        <v>1414</v>
      </c>
      <c r="I425" s="3" t="s">
        <v>14</v>
      </c>
      <c r="J425" s="2" t="s">
        <v>306</v>
      </c>
      <c r="K425" s="4" t="str">
        <f t="shared" si="6"/>
        <v>4Y / 0N</v>
      </c>
      <c r="L425" s="2" t="s">
        <v>19</v>
      </c>
      <c r="M425" s="2"/>
    </row>
    <row r="426" spans="1:13" ht="98.1" customHeight="1" x14ac:dyDescent="0.2">
      <c r="A426" s="2" t="s">
        <v>1415</v>
      </c>
      <c r="B426" s="3" t="s">
        <v>24</v>
      </c>
      <c r="C426" s="3" t="s">
        <v>24</v>
      </c>
      <c r="D426" s="2" t="s">
        <v>388</v>
      </c>
      <c r="E426" s="3" t="s">
        <v>24</v>
      </c>
      <c r="F426" s="2" t="s">
        <v>1416</v>
      </c>
      <c r="G426" s="3" t="s">
        <v>24</v>
      </c>
      <c r="H426" s="2" t="s">
        <v>126</v>
      </c>
      <c r="I426" s="3" t="s">
        <v>24</v>
      </c>
      <c r="J426" s="2" t="s">
        <v>1417</v>
      </c>
      <c r="K426" s="4" t="str">
        <f t="shared" si="6"/>
        <v>0Y / 4N</v>
      </c>
      <c r="L426" s="2" t="s">
        <v>19</v>
      </c>
      <c r="M426" s="2"/>
    </row>
    <row r="427" spans="1:13" ht="98.1" customHeight="1" x14ac:dyDescent="0.2">
      <c r="A427" s="2" t="s">
        <v>1418</v>
      </c>
      <c r="B427" s="3" t="s">
        <v>14</v>
      </c>
      <c r="C427" s="3" t="s">
        <v>14</v>
      </c>
      <c r="D427" s="2" t="s">
        <v>944</v>
      </c>
      <c r="E427" s="3" t="s">
        <v>14</v>
      </c>
      <c r="F427" s="2" t="s">
        <v>276</v>
      </c>
      <c r="G427" s="3" t="s">
        <v>14</v>
      </c>
      <c r="H427" s="2" t="s">
        <v>1419</v>
      </c>
      <c r="I427" s="3" t="s">
        <v>14</v>
      </c>
      <c r="J427" s="2" t="s">
        <v>306</v>
      </c>
      <c r="K427" s="4" t="str">
        <f t="shared" si="6"/>
        <v>4Y / 0N</v>
      </c>
      <c r="L427" s="2" t="s">
        <v>19</v>
      </c>
      <c r="M427" s="2"/>
    </row>
    <row r="428" spans="1:13" ht="98.1" customHeight="1" x14ac:dyDescent="0.2">
      <c r="A428" s="2" t="s">
        <v>1420</v>
      </c>
      <c r="B428" s="3" t="s">
        <v>14</v>
      </c>
      <c r="C428" s="3" t="s">
        <v>14</v>
      </c>
      <c r="D428" s="2" t="s">
        <v>944</v>
      </c>
      <c r="E428" s="3" t="s">
        <v>14</v>
      </c>
      <c r="F428" s="2" t="s">
        <v>276</v>
      </c>
      <c r="G428" s="3" t="s">
        <v>14</v>
      </c>
      <c r="H428" s="2" t="s">
        <v>1421</v>
      </c>
      <c r="I428" s="3" t="s">
        <v>14</v>
      </c>
      <c r="J428" s="2" t="s">
        <v>306</v>
      </c>
      <c r="K428" s="4" t="str">
        <f t="shared" si="6"/>
        <v>4Y / 0N</v>
      </c>
      <c r="L428" s="2" t="s">
        <v>19</v>
      </c>
      <c r="M428" s="2"/>
    </row>
    <row r="429" spans="1:13" ht="98.1" customHeight="1" x14ac:dyDescent="0.2">
      <c r="A429" s="2" t="s">
        <v>1422</v>
      </c>
      <c r="B429" s="3" t="s">
        <v>14</v>
      </c>
      <c r="C429" s="3" t="s">
        <v>14</v>
      </c>
      <c r="D429" s="2" t="s">
        <v>944</v>
      </c>
      <c r="E429" s="3" t="s">
        <v>14</v>
      </c>
      <c r="F429" s="2" t="s">
        <v>276</v>
      </c>
      <c r="G429" s="3" t="s">
        <v>14</v>
      </c>
      <c r="H429" s="2" t="s">
        <v>1423</v>
      </c>
      <c r="I429" s="3" t="s">
        <v>14</v>
      </c>
      <c r="J429" s="2" t="s">
        <v>457</v>
      </c>
      <c r="K429" s="4" t="str">
        <f t="shared" si="6"/>
        <v>4Y / 0N</v>
      </c>
      <c r="L429" s="2" t="s">
        <v>19</v>
      </c>
      <c r="M429" s="2"/>
    </row>
    <row r="430" spans="1:13" ht="98.1" customHeight="1" x14ac:dyDescent="0.2">
      <c r="A430" s="2" t="s">
        <v>1424</v>
      </c>
      <c r="B430" s="3" t="s">
        <v>14</v>
      </c>
      <c r="C430" s="3" t="s">
        <v>14</v>
      </c>
      <c r="D430" s="2" t="s">
        <v>944</v>
      </c>
      <c r="E430" s="3" t="s">
        <v>14</v>
      </c>
      <c r="F430" s="2" t="s">
        <v>276</v>
      </c>
      <c r="G430" s="3" t="s">
        <v>14</v>
      </c>
      <c r="H430" s="2" t="s">
        <v>1425</v>
      </c>
      <c r="I430" s="3" t="s">
        <v>14</v>
      </c>
      <c r="J430" s="2" t="s">
        <v>1426</v>
      </c>
      <c r="K430" s="4" t="str">
        <f t="shared" si="6"/>
        <v>4Y / 0N</v>
      </c>
      <c r="L430" s="2" t="s">
        <v>19</v>
      </c>
      <c r="M430" s="2"/>
    </row>
    <row r="431" spans="1:13" ht="98.1" customHeight="1" x14ac:dyDescent="0.2">
      <c r="A431" s="2" t="s">
        <v>1427</v>
      </c>
      <c r="B431" s="3" t="s">
        <v>24</v>
      </c>
      <c r="C431" s="3" t="s">
        <v>24</v>
      </c>
      <c r="D431" s="2" t="s">
        <v>521</v>
      </c>
      <c r="E431" s="3" t="s">
        <v>24</v>
      </c>
      <c r="F431" s="2" t="s">
        <v>1428</v>
      </c>
      <c r="G431" s="3" t="s">
        <v>24</v>
      </c>
      <c r="H431" s="2" t="s">
        <v>523</v>
      </c>
      <c r="I431" s="3" t="s">
        <v>14</v>
      </c>
      <c r="J431" s="2" t="s">
        <v>1429</v>
      </c>
      <c r="K431" s="4" t="str">
        <f t="shared" si="6"/>
        <v>1Y / 3N</v>
      </c>
      <c r="L431" s="2" t="s">
        <v>38</v>
      </c>
      <c r="M431" s="2" t="s">
        <v>665</v>
      </c>
    </row>
    <row r="432" spans="1:13" ht="98.1" customHeight="1" x14ac:dyDescent="0.2">
      <c r="A432" s="2" t="s">
        <v>1430</v>
      </c>
      <c r="B432" s="3" t="s">
        <v>14</v>
      </c>
      <c r="C432" s="3" t="s">
        <v>14</v>
      </c>
      <c r="D432" s="2" t="s">
        <v>944</v>
      </c>
      <c r="E432" s="3" t="s">
        <v>14</v>
      </c>
      <c r="F432" s="2" t="s">
        <v>741</v>
      </c>
      <c r="G432" s="3" t="s">
        <v>14</v>
      </c>
      <c r="H432" s="2" t="s">
        <v>166</v>
      </c>
      <c r="I432" s="3" t="s">
        <v>14</v>
      </c>
      <c r="J432" s="2" t="s">
        <v>1431</v>
      </c>
      <c r="K432" s="4" t="str">
        <f t="shared" si="6"/>
        <v>4Y / 0N</v>
      </c>
      <c r="L432" s="2" t="s">
        <v>19</v>
      </c>
      <c r="M432" s="2"/>
    </row>
    <row r="433" spans="1:13" ht="98.1" customHeight="1" x14ac:dyDescent="0.2">
      <c r="A433" s="2" t="s">
        <v>1432</v>
      </c>
      <c r="B433" s="3" t="s">
        <v>24</v>
      </c>
      <c r="C433" s="3" t="s">
        <v>24</v>
      </c>
      <c r="D433" s="2" t="s">
        <v>1433</v>
      </c>
      <c r="E433" s="3" t="s">
        <v>24</v>
      </c>
      <c r="F433" s="2" t="s">
        <v>1434</v>
      </c>
      <c r="G433" s="3" t="s">
        <v>14</v>
      </c>
      <c r="H433" s="2" t="s">
        <v>1435</v>
      </c>
      <c r="I433" s="3" t="s">
        <v>24</v>
      </c>
      <c r="J433" s="2" t="s">
        <v>1436</v>
      </c>
      <c r="K433" s="4" t="str">
        <f t="shared" si="6"/>
        <v>1Y / 3N</v>
      </c>
      <c r="L433" s="2" t="s">
        <v>26</v>
      </c>
      <c r="M433" s="2" t="s">
        <v>120</v>
      </c>
    </row>
    <row r="434" spans="1:13" ht="98.1" customHeight="1" x14ac:dyDescent="0.2">
      <c r="A434" s="2" t="s">
        <v>1437</v>
      </c>
      <c r="B434" s="3" t="s">
        <v>14</v>
      </c>
      <c r="C434" s="3" t="s">
        <v>14</v>
      </c>
      <c r="D434" s="2" t="s">
        <v>944</v>
      </c>
      <c r="E434" s="3" t="s">
        <v>14</v>
      </c>
      <c r="F434" s="2" t="s">
        <v>741</v>
      </c>
      <c r="G434" s="3" t="s">
        <v>14</v>
      </c>
      <c r="H434" s="2" t="s">
        <v>1435</v>
      </c>
      <c r="I434" s="3" t="s">
        <v>14</v>
      </c>
      <c r="J434" s="2" t="s">
        <v>323</v>
      </c>
      <c r="K434" s="4" t="str">
        <f t="shared" si="6"/>
        <v>4Y / 0N</v>
      </c>
      <c r="L434" s="2" t="s">
        <v>19</v>
      </c>
      <c r="M434" s="2"/>
    </row>
    <row r="435" spans="1:13" ht="98.1" customHeight="1" x14ac:dyDescent="0.2">
      <c r="A435" s="2" t="s">
        <v>1438</v>
      </c>
      <c r="B435" s="3" t="s">
        <v>14</v>
      </c>
      <c r="C435" s="3" t="s">
        <v>14</v>
      </c>
      <c r="D435" s="2" t="s">
        <v>944</v>
      </c>
      <c r="E435" s="3" t="s">
        <v>14</v>
      </c>
      <c r="F435" s="2" t="s">
        <v>741</v>
      </c>
      <c r="G435" s="3" t="s">
        <v>14</v>
      </c>
      <c r="H435" s="2" t="s">
        <v>118</v>
      </c>
      <c r="I435" s="3" t="s">
        <v>14</v>
      </c>
      <c r="J435" s="2" t="s">
        <v>323</v>
      </c>
      <c r="K435" s="4" t="str">
        <f t="shared" si="6"/>
        <v>4Y / 0N</v>
      </c>
      <c r="L435" s="2" t="s">
        <v>19</v>
      </c>
      <c r="M435" s="2"/>
    </row>
    <row r="436" spans="1:13" ht="98.1" customHeight="1" x14ac:dyDescent="0.2">
      <c r="A436" s="2" t="s">
        <v>1439</v>
      </c>
      <c r="B436" s="3" t="s">
        <v>14</v>
      </c>
      <c r="C436" s="3" t="s">
        <v>14</v>
      </c>
      <c r="D436" s="2" t="s">
        <v>944</v>
      </c>
      <c r="E436" s="3" t="s">
        <v>14</v>
      </c>
      <c r="F436" s="2" t="s">
        <v>741</v>
      </c>
      <c r="G436" s="3" t="s">
        <v>14</v>
      </c>
      <c r="H436" s="2" t="s">
        <v>1440</v>
      </c>
      <c r="I436" s="3" t="s">
        <v>14</v>
      </c>
      <c r="J436" s="2" t="s">
        <v>306</v>
      </c>
      <c r="K436" s="4" t="str">
        <f t="shared" si="6"/>
        <v>4Y / 0N</v>
      </c>
      <c r="L436" s="2" t="s">
        <v>19</v>
      </c>
      <c r="M436" s="2"/>
    </row>
    <row r="437" spans="1:13" ht="98.1" customHeight="1" x14ac:dyDescent="0.2">
      <c r="A437" s="2" t="s">
        <v>1441</v>
      </c>
      <c r="B437" s="3" t="s">
        <v>14</v>
      </c>
      <c r="C437" s="3" t="s">
        <v>14</v>
      </c>
      <c r="D437" s="2" t="s">
        <v>944</v>
      </c>
      <c r="E437" s="3" t="s">
        <v>14</v>
      </c>
      <c r="F437" s="2" t="s">
        <v>741</v>
      </c>
      <c r="G437" s="3" t="s">
        <v>14</v>
      </c>
      <c r="H437" s="2" t="s">
        <v>1442</v>
      </c>
      <c r="I437" s="3" t="s">
        <v>14</v>
      </c>
      <c r="J437" s="2" t="s">
        <v>323</v>
      </c>
      <c r="K437" s="4" t="str">
        <f t="shared" si="6"/>
        <v>4Y / 0N</v>
      </c>
      <c r="L437" s="2" t="s">
        <v>19</v>
      </c>
      <c r="M437" s="2"/>
    </row>
    <row r="438" spans="1:13" ht="98.1" customHeight="1" x14ac:dyDescent="0.2">
      <c r="A438" s="2" t="s">
        <v>1443</v>
      </c>
      <c r="B438" s="3" t="s">
        <v>24</v>
      </c>
      <c r="C438" s="3" t="s">
        <v>14</v>
      </c>
      <c r="D438" s="2" t="s">
        <v>944</v>
      </c>
      <c r="E438" s="3" t="s">
        <v>14</v>
      </c>
      <c r="F438" s="2" t="s">
        <v>741</v>
      </c>
      <c r="G438" s="3" t="s">
        <v>24</v>
      </c>
      <c r="H438" s="2" t="s">
        <v>184</v>
      </c>
      <c r="I438" s="3" t="s">
        <v>24</v>
      </c>
      <c r="J438" s="2" t="s">
        <v>1444</v>
      </c>
      <c r="K438" s="4" t="str">
        <f t="shared" si="6"/>
        <v>2Y / 2N</v>
      </c>
      <c r="L438" s="2" t="s">
        <v>38</v>
      </c>
      <c r="M438" s="2" t="s">
        <v>202</v>
      </c>
    </row>
    <row r="439" spans="1:13" ht="98.1" customHeight="1" x14ac:dyDescent="0.2">
      <c r="A439" s="2" t="s">
        <v>1445</v>
      </c>
      <c r="B439" s="3" t="s">
        <v>14</v>
      </c>
      <c r="C439" s="3" t="s">
        <v>14</v>
      </c>
      <c r="D439" s="2" t="s">
        <v>944</v>
      </c>
      <c r="E439" s="3" t="s">
        <v>14</v>
      </c>
      <c r="F439" s="2" t="s">
        <v>741</v>
      </c>
      <c r="G439" s="3" t="s">
        <v>14</v>
      </c>
      <c r="H439" s="2" t="s">
        <v>1446</v>
      </c>
      <c r="I439" s="3" t="s">
        <v>14</v>
      </c>
      <c r="J439" s="2" t="s">
        <v>306</v>
      </c>
      <c r="K439" s="4" t="str">
        <f t="shared" si="6"/>
        <v>4Y / 0N</v>
      </c>
      <c r="L439" s="2" t="s">
        <v>19</v>
      </c>
      <c r="M439" s="2"/>
    </row>
    <row r="440" spans="1:13" ht="98.1" customHeight="1" x14ac:dyDescent="0.2">
      <c r="A440" s="2" t="s">
        <v>1447</v>
      </c>
      <c r="B440" s="3" t="s">
        <v>14</v>
      </c>
      <c r="C440" s="3" t="s">
        <v>14</v>
      </c>
      <c r="D440" s="2" t="s">
        <v>944</v>
      </c>
      <c r="E440" s="3" t="s">
        <v>14</v>
      </c>
      <c r="F440" s="2" t="s">
        <v>741</v>
      </c>
      <c r="G440" s="3" t="s">
        <v>14</v>
      </c>
      <c r="H440" s="2" t="s">
        <v>799</v>
      </c>
      <c r="I440" s="3" t="s">
        <v>14</v>
      </c>
      <c r="J440" s="2" t="s">
        <v>457</v>
      </c>
      <c r="K440" s="4" t="str">
        <f t="shared" si="6"/>
        <v>4Y / 0N</v>
      </c>
      <c r="L440" s="2" t="s">
        <v>19</v>
      </c>
      <c r="M440" s="2"/>
    </row>
    <row r="441" spans="1:13" ht="98.1" customHeight="1" x14ac:dyDescent="0.2">
      <c r="A441" s="2" t="s">
        <v>1448</v>
      </c>
      <c r="B441" s="3" t="s">
        <v>24</v>
      </c>
      <c r="C441" s="3" t="s">
        <v>24</v>
      </c>
      <c r="D441" s="2" t="s">
        <v>388</v>
      </c>
      <c r="E441" s="3" t="s">
        <v>24</v>
      </c>
      <c r="F441" s="2" t="s">
        <v>1449</v>
      </c>
      <c r="G441" s="3" t="s">
        <v>24</v>
      </c>
      <c r="H441" s="2" t="s">
        <v>126</v>
      </c>
      <c r="I441" s="3" t="s">
        <v>24</v>
      </c>
      <c r="J441" s="2" t="s">
        <v>1450</v>
      </c>
      <c r="K441" s="4" t="str">
        <f t="shared" si="6"/>
        <v>0Y / 4N</v>
      </c>
      <c r="L441" s="2" t="s">
        <v>19</v>
      </c>
      <c r="M441" s="2"/>
    </row>
    <row r="442" spans="1:13" ht="98.1" customHeight="1" x14ac:dyDescent="0.2">
      <c r="A442" s="2" t="s">
        <v>1451</v>
      </c>
      <c r="B442" s="3" t="s">
        <v>24</v>
      </c>
      <c r="C442" s="3" t="s">
        <v>24</v>
      </c>
      <c r="D442" s="2" t="s">
        <v>1281</v>
      </c>
      <c r="E442" s="3" t="s">
        <v>24</v>
      </c>
      <c r="F442" s="2" t="s">
        <v>686</v>
      </c>
      <c r="G442" s="3" t="s">
        <v>14</v>
      </c>
      <c r="H442" s="2" t="s">
        <v>799</v>
      </c>
      <c r="I442" s="3" t="s">
        <v>24</v>
      </c>
      <c r="J442" s="2" t="s">
        <v>1452</v>
      </c>
      <c r="K442" s="4" t="str">
        <f t="shared" si="6"/>
        <v>1Y / 3N</v>
      </c>
      <c r="L442" s="2" t="s">
        <v>38</v>
      </c>
      <c r="M442" s="2" t="s">
        <v>202</v>
      </c>
    </row>
    <row r="443" spans="1:13" ht="98.1" customHeight="1" x14ac:dyDescent="0.2">
      <c r="A443" s="2" t="s">
        <v>1453</v>
      </c>
      <c r="B443" s="3" t="s">
        <v>24</v>
      </c>
      <c r="C443" s="3" t="s">
        <v>24</v>
      </c>
      <c r="D443" s="2" t="s">
        <v>388</v>
      </c>
      <c r="E443" s="3" t="s">
        <v>24</v>
      </c>
      <c r="F443" s="2" t="s">
        <v>278</v>
      </c>
      <c r="G443" s="3" t="s">
        <v>24</v>
      </c>
      <c r="H443" s="2" t="s">
        <v>126</v>
      </c>
      <c r="I443" s="3" t="s">
        <v>24</v>
      </c>
      <c r="J443" s="2" t="s">
        <v>1454</v>
      </c>
      <c r="K443" s="4" t="str">
        <f t="shared" si="6"/>
        <v>0Y / 4N</v>
      </c>
      <c r="L443" s="2" t="s">
        <v>19</v>
      </c>
      <c r="M443" s="2"/>
    </row>
    <row r="444" spans="1:13" ht="98.1" customHeight="1" x14ac:dyDescent="0.2">
      <c r="A444" s="2" t="s">
        <v>1455</v>
      </c>
      <c r="B444" s="3" t="s">
        <v>14</v>
      </c>
      <c r="C444" s="3" t="s">
        <v>14</v>
      </c>
      <c r="D444" s="2" t="s">
        <v>944</v>
      </c>
      <c r="E444" s="3" t="s">
        <v>14</v>
      </c>
      <c r="F444" s="2" t="s">
        <v>741</v>
      </c>
      <c r="G444" s="3" t="s">
        <v>14</v>
      </c>
      <c r="H444" s="2" t="s">
        <v>1456</v>
      </c>
      <c r="I444" s="3" t="s">
        <v>14</v>
      </c>
      <c r="J444" s="2" t="s">
        <v>1457</v>
      </c>
      <c r="K444" s="4" t="str">
        <f t="shared" si="6"/>
        <v>4Y / 0N</v>
      </c>
      <c r="L444" s="2" t="s">
        <v>19</v>
      </c>
      <c r="M444" s="2"/>
    </row>
    <row r="445" spans="1:13" ht="98.1" customHeight="1" x14ac:dyDescent="0.2">
      <c r="A445" s="2" t="s">
        <v>1458</v>
      </c>
      <c r="B445" s="3" t="s">
        <v>14</v>
      </c>
      <c r="C445" s="3" t="s">
        <v>14</v>
      </c>
      <c r="D445" s="2" t="s">
        <v>944</v>
      </c>
      <c r="E445" s="3" t="s">
        <v>14</v>
      </c>
      <c r="F445" s="2" t="s">
        <v>741</v>
      </c>
      <c r="G445" s="3" t="s">
        <v>14</v>
      </c>
      <c r="H445" s="2" t="s">
        <v>1459</v>
      </c>
      <c r="I445" s="3" t="s">
        <v>14</v>
      </c>
      <c r="J445" s="2" t="s">
        <v>1460</v>
      </c>
      <c r="K445" s="4" t="str">
        <f t="shared" si="6"/>
        <v>4Y / 0N</v>
      </c>
      <c r="L445" s="2" t="s">
        <v>19</v>
      </c>
      <c r="M445" s="2"/>
    </row>
    <row r="446" spans="1:13" ht="98.1" customHeight="1" x14ac:dyDescent="0.2">
      <c r="A446" s="2" t="s">
        <v>1461</v>
      </c>
      <c r="B446" s="3" t="s">
        <v>24</v>
      </c>
      <c r="C446" s="3" t="s">
        <v>14</v>
      </c>
      <c r="D446" s="2" t="s">
        <v>944</v>
      </c>
      <c r="E446" s="3" t="s">
        <v>24</v>
      </c>
      <c r="F446" s="2" t="s">
        <v>1462</v>
      </c>
      <c r="G446" s="3" t="s">
        <v>14</v>
      </c>
      <c r="H446" s="2" t="s">
        <v>1463</v>
      </c>
      <c r="I446" s="3" t="s">
        <v>14</v>
      </c>
      <c r="J446" s="2" t="s">
        <v>422</v>
      </c>
      <c r="K446" s="4" t="str">
        <f t="shared" si="6"/>
        <v>3Y / 1N</v>
      </c>
      <c r="L446" s="2" t="s">
        <v>38</v>
      </c>
      <c r="M446" s="2" t="s">
        <v>601</v>
      </c>
    </row>
    <row r="447" spans="1:13" ht="98.1" customHeight="1" x14ac:dyDescent="0.2">
      <c r="A447" s="2" t="s">
        <v>1464</v>
      </c>
      <c r="B447" s="3" t="s">
        <v>14</v>
      </c>
      <c r="C447" s="3" t="s">
        <v>14</v>
      </c>
      <c r="D447" s="2" t="s">
        <v>944</v>
      </c>
      <c r="E447" s="3" t="s">
        <v>14</v>
      </c>
      <c r="F447" s="2" t="s">
        <v>741</v>
      </c>
      <c r="G447" s="3" t="s">
        <v>24</v>
      </c>
      <c r="H447" s="2" t="s">
        <v>126</v>
      </c>
      <c r="I447" s="3" t="s">
        <v>14</v>
      </c>
      <c r="J447" s="2" t="s">
        <v>306</v>
      </c>
      <c r="K447" s="4" t="str">
        <f t="shared" si="6"/>
        <v>3Y / 1N</v>
      </c>
      <c r="L447" s="2" t="s">
        <v>38</v>
      </c>
      <c r="M447" s="2" t="s">
        <v>110</v>
      </c>
    </row>
    <row r="448" spans="1:13" ht="98.1" customHeight="1" x14ac:dyDescent="0.2">
      <c r="A448" s="2" t="s">
        <v>1465</v>
      </c>
      <c r="B448" s="3" t="s">
        <v>24</v>
      </c>
      <c r="C448" s="3" t="s">
        <v>24</v>
      </c>
      <c r="D448" s="2" t="s">
        <v>1466</v>
      </c>
      <c r="E448" s="3" t="s">
        <v>14</v>
      </c>
      <c r="F448" s="2" t="s">
        <v>741</v>
      </c>
      <c r="G448" s="3" t="s">
        <v>14</v>
      </c>
      <c r="H448" s="2" t="s">
        <v>1467</v>
      </c>
      <c r="I448" s="3" t="s">
        <v>14</v>
      </c>
      <c r="J448" s="2" t="s">
        <v>1468</v>
      </c>
      <c r="K448" s="4" t="str">
        <f t="shared" si="6"/>
        <v>3Y / 1N</v>
      </c>
      <c r="L448" s="2" t="s">
        <v>38</v>
      </c>
      <c r="M448" s="2" t="s">
        <v>66</v>
      </c>
    </row>
    <row r="449" spans="1:13" ht="98.1" customHeight="1" x14ac:dyDescent="0.2">
      <c r="A449" s="2" t="s">
        <v>1469</v>
      </c>
      <c r="B449" s="3" t="s">
        <v>14</v>
      </c>
      <c r="C449" s="3" t="s">
        <v>14</v>
      </c>
      <c r="D449" s="2" t="s">
        <v>1286</v>
      </c>
      <c r="E449" s="3" t="s">
        <v>14</v>
      </c>
      <c r="F449" s="2" t="s">
        <v>741</v>
      </c>
      <c r="G449" s="3" t="s">
        <v>14</v>
      </c>
      <c r="H449" s="2" t="s">
        <v>1470</v>
      </c>
      <c r="I449" s="3" t="s">
        <v>14</v>
      </c>
      <c r="J449" s="2" t="s">
        <v>600</v>
      </c>
      <c r="K449" s="4" t="str">
        <f t="shared" si="6"/>
        <v>4Y / 0N</v>
      </c>
      <c r="L449" s="2" t="s">
        <v>19</v>
      </c>
      <c r="M449" s="2"/>
    </row>
    <row r="450" spans="1:13" ht="98.1" customHeight="1" x14ac:dyDescent="0.2">
      <c r="A450" s="2" t="s">
        <v>1471</v>
      </c>
      <c r="B450" s="3" t="s">
        <v>14</v>
      </c>
      <c r="C450" s="3" t="s">
        <v>14</v>
      </c>
      <c r="D450" s="2" t="s">
        <v>944</v>
      </c>
      <c r="E450" s="3" t="s">
        <v>14</v>
      </c>
      <c r="F450" s="2" t="s">
        <v>754</v>
      </c>
      <c r="G450" s="3" t="s">
        <v>14</v>
      </c>
      <c r="H450" s="2" t="s">
        <v>1472</v>
      </c>
      <c r="I450" s="3" t="s">
        <v>14</v>
      </c>
      <c r="J450" s="2" t="s">
        <v>457</v>
      </c>
      <c r="K450" s="4" t="str">
        <f t="shared" ref="K450:K479" si="7">(COUNTIF(C450,"Y")+COUNTIF(E450,"Y")+COUNTIF(G450,"Y")+COUNTIF(I450,"Y"))&amp;"Y / "&amp;(COUNTIF(C450,"N")+COUNTIF(E450,"N")+COUNTIF(G450,"N")+COUNTIF(I450,"N"))&amp;"N"&amp;IF(4-(COUNTIF(C450,"Y")+COUNTIF(E450,"Y")+COUNTIF(G450,"Y")+COUNTIF(I450,"Y"))-(COUNTIF(C450,"N")+COUNTIF(E450,"N")+COUNTIF(G450,"N")+COUNTIF(I450,"N"))&gt;0," / "&amp;(4-(COUNTIF(C450,"Y")+COUNTIF(E450,"Y")+COUNTIF(G450,"Y")+COUNTIF(I450,"Y"))-(COUNTIF(C450,"N")+COUNTIF(E450,"N")+COUNTIF(G450,"N")+COUNTIF(I450,"N")))&amp;" ambiguous","")</f>
        <v>4Y / 0N</v>
      </c>
      <c r="L450" s="2" t="s">
        <v>19</v>
      </c>
      <c r="M450" s="2"/>
    </row>
    <row r="451" spans="1:13" ht="98.1" customHeight="1" x14ac:dyDescent="0.2">
      <c r="A451" s="2" t="s">
        <v>1473</v>
      </c>
      <c r="B451" s="3" t="s">
        <v>24</v>
      </c>
      <c r="C451" s="3" t="s">
        <v>24</v>
      </c>
      <c r="D451" s="2" t="s">
        <v>388</v>
      </c>
      <c r="E451" s="3" t="s">
        <v>24</v>
      </c>
      <c r="F451" s="2" t="s">
        <v>1474</v>
      </c>
      <c r="G451" s="3" t="s">
        <v>24</v>
      </c>
      <c r="H451" s="2" t="s">
        <v>126</v>
      </c>
      <c r="I451" s="3" t="s">
        <v>24</v>
      </c>
      <c r="J451" s="2" t="s">
        <v>1475</v>
      </c>
      <c r="K451" s="4" t="str">
        <f t="shared" si="7"/>
        <v>0Y / 4N</v>
      </c>
      <c r="L451" s="2" t="s">
        <v>19</v>
      </c>
      <c r="M451" s="2"/>
    </row>
    <row r="452" spans="1:13" ht="98.1" customHeight="1" x14ac:dyDescent="0.2">
      <c r="A452" s="2" t="s">
        <v>1476</v>
      </c>
      <c r="B452" s="3" t="s">
        <v>14</v>
      </c>
      <c r="C452" s="3" t="s">
        <v>14</v>
      </c>
      <c r="D452" s="2" t="s">
        <v>944</v>
      </c>
      <c r="E452" s="3" t="s">
        <v>14</v>
      </c>
      <c r="F452" s="2" t="s">
        <v>754</v>
      </c>
      <c r="G452" s="3" t="s">
        <v>14</v>
      </c>
      <c r="H452" s="2" t="s">
        <v>1477</v>
      </c>
      <c r="I452" s="3" t="s">
        <v>14</v>
      </c>
      <c r="J452" s="2" t="s">
        <v>935</v>
      </c>
      <c r="K452" s="4" t="str">
        <f t="shared" si="7"/>
        <v>4Y / 0N</v>
      </c>
      <c r="L452" s="2" t="s">
        <v>19</v>
      </c>
      <c r="M452" s="2"/>
    </row>
    <row r="453" spans="1:13" ht="98.1" customHeight="1" x14ac:dyDescent="0.2">
      <c r="A453" s="2" t="s">
        <v>1478</v>
      </c>
      <c r="B453" s="3" t="s">
        <v>14</v>
      </c>
      <c r="C453" s="3" t="s">
        <v>14</v>
      </c>
      <c r="D453" s="2" t="s">
        <v>944</v>
      </c>
      <c r="E453" s="3" t="s">
        <v>14</v>
      </c>
      <c r="F453" s="2" t="s">
        <v>754</v>
      </c>
      <c r="G453" s="3" t="s">
        <v>14</v>
      </c>
      <c r="H453" s="2" t="s">
        <v>1479</v>
      </c>
      <c r="I453" s="3" t="s">
        <v>14</v>
      </c>
      <c r="J453" s="2" t="s">
        <v>607</v>
      </c>
      <c r="K453" s="4" t="str">
        <f t="shared" si="7"/>
        <v>4Y / 0N</v>
      </c>
      <c r="L453" s="2" t="s">
        <v>19</v>
      </c>
      <c r="M453" s="2"/>
    </row>
    <row r="454" spans="1:13" ht="98.1" customHeight="1" x14ac:dyDescent="0.2">
      <c r="A454" s="2" t="s">
        <v>1480</v>
      </c>
      <c r="B454" s="3" t="s">
        <v>24</v>
      </c>
      <c r="C454" s="3" t="s">
        <v>24</v>
      </c>
      <c r="D454" s="2" t="s">
        <v>1481</v>
      </c>
      <c r="E454" s="3" t="s">
        <v>14</v>
      </c>
      <c r="F454" s="2" t="s">
        <v>754</v>
      </c>
      <c r="G454" s="3" t="s">
        <v>14</v>
      </c>
      <c r="H454" s="2" t="s">
        <v>1482</v>
      </c>
      <c r="I454" s="3" t="s">
        <v>14</v>
      </c>
      <c r="J454" s="2" t="s">
        <v>1483</v>
      </c>
      <c r="K454" s="4" t="str">
        <f t="shared" si="7"/>
        <v>3Y / 1N</v>
      </c>
      <c r="L454" s="2" t="s">
        <v>38</v>
      </c>
      <c r="M454" s="2" t="s">
        <v>39</v>
      </c>
    </row>
    <row r="455" spans="1:13" ht="98.1" customHeight="1" x14ac:dyDescent="0.2">
      <c r="A455" s="2" t="s">
        <v>1484</v>
      </c>
      <c r="B455" s="3" t="s">
        <v>14</v>
      </c>
      <c r="C455" s="3" t="s">
        <v>14</v>
      </c>
      <c r="D455" s="2" t="s">
        <v>944</v>
      </c>
      <c r="E455" s="3" t="s">
        <v>14</v>
      </c>
      <c r="F455" s="2" t="s">
        <v>754</v>
      </c>
      <c r="G455" s="3" t="s">
        <v>14</v>
      </c>
      <c r="H455" s="2" t="s">
        <v>715</v>
      </c>
      <c r="I455" s="3" t="s">
        <v>14</v>
      </c>
      <c r="J455" s="2" t="s">
        <v>600</v>
      </c>
      <c r="K455" s="4" t="str">
        <f t="shared" si="7"/>
        <v>4Y / 0N</v>
      </c>
      <c r="L455" s="2" t="s">
        <v>19</v>
      </c>
      <c r="M455" s="2"/>
    </row>
    <row r="456" spans="1:13" ht="98.1" customHeight="1" x14ac:dyDescent="0.2">
      <c r="A456" s="2" t="s">
        <v>1485</v>
      </c>
      <c r="B456" s="3" t="s">
        <v>14</v>
      </c>
      <c r="C456" s="3" t="s">
        <v>14</v>
      </c>
      <c r="D456" s="2" t="s">
        <v>944</v>
      </c>
      <c r="E456" s="3" t="s">
        <v>14</v>
      </c>
      <c r="F456" s="2" t="s">
        <v>754</v>
      </c>
      <c r="G456" s="3" t="s">
        <v>14</v>
      </c>
      <c r="H456" s="2" t="s">
        <v>1486</v>
      </c>
      <c r="I456" s="3" t="s">
        <v>14</v>
      </c>
      <c r="J456" s="2" t="s">
        <v>1487</v>
      </c>
      <c r="K456" s="4" t="str">
        <f t="shared" si="7"/>
        <v>4Y / 0N</v>
      </c>
      <c r="L456" s="2" t="s">
        <v>19</v>
      </c>
      <c r="M456" s="2"/>
    </row>
    <row r="457" spans="1:13" ht="98.1" customHeight="1" x14ac:dyDescent="0.2">
      <c r="A457" s="2" t="s">
        <v>1488</v>
      </c>
      <c r="B457" s="3" t="s">
        <v>14</v>
      </c>
      <c r="C457" s="3" t="s">
        <v>14</v>
      </c>
      <c r="D457" s="2" t="s">
        <v>944</v>
      </c>
      <c r="E457" s="3" t="s">
        <v>14</v>
      </c>
      <c r="F457" s="2" t="s">
        <v>754</v>
      </c>
      <c r="G457" s="3" t="s">
        <v>14</v>
      </c>
      <c r="H457" s="2" t="s">
        <v>1489</v>
      </c>
      <c r="I457" s="3" t="s">
        <v>14</v>
      </c>
      <c r="J457" s="2" t="s">
        <v>1490</v>
      </c>
      <c r="K457" s="4" t="str">
        <f t="shared" si="7"/>
        <v>4Y / 0N</v>
      </c>
      <c r="L457" s="2" t="s">
        <v>19</v>
      </c>
      <c r="M457" s="2"/>
    </row>
    <row r="458" spans="1:13" ht="98.1" customHeight="1" x14ac:dyDescent="0.2">
      <c r="A458" s="2" t="s">
        <v>1491</v>
      </c>
      <c r="B458" s="3" t="s">
        <v>24</v>
      </c>
      <c r="C458" s="3" t="s">
        <v>24</v>
      </c>
      <c r="D458" s="2" t="s">
        <v>1492</v>
      </c>
      <c r="E458" s="3" t="s">
        <v>24</v>
      </c>
      <c r="F458" s="2" t="s">
        <v>1493</v>
      </c>
      <c r="G458" s="3" t="s">
        <v>14</v>
      </c>
      <c r="H458" s="2" t="s">
        <v>1301</v>
      </c>
      <c r="I458" s="3" t="s">
        <v>24</v>
      </c>
      <c r="J458" s="2" t="s">
        <v>1494</v>
      </c>
      <c r="K458" s="4" t="str">
        <f t="shared" si="7"/>
        <v>1Y / 3N</v>
      </c>
      <c r="L458" s="2" t="s">
        <v>38</v>
      </c>
      <c r="M458" s="2" t="s">
        <v>217</v>
      </c>
    </row>
    <row r="459" spans="1:13" ht="98.1" customHeight="1" x14ac:dyDescent="0.2">
      <c r="A459" s="2" t="s">
        <v>1495</v>
      </c>
      <c r="B459" s="3" t="s">
        <v>14</v>
      </c>
      <c r="C459" s="3" t="s">
        <v>14</v>
      </c>
      <c r="D459" s="2" t="s">
        <v>944</v>
      </c>
      <c r="E459" s="3" t="s">
        <v>14</v>
      </c>
      <c r="F459" s="2" t="s">
        <v>754</v>
      </c>
      <c r="G459" s="3" t="s">
        <v>14</v>
      </c>
      <c r="H459" s="2" t="s">
        <v>118</v>
      </c>
      <c r="I459" s="3" t="s">
        <v>14</v>
      </c>
      <c r="J459" s="2" t="s">
        <v>871</v>
      </c>
      <c r="K459" s="4" t="str">
        <f t="shared" si="7"/>
        <v>4Y / 0N</v>
      </c>
      <c r="L459" s="2" t="s">
        <v>19</v>
      </c>
      <c r="M459" s="2"/>
    </row>
    <row r="460" spans="1:13" ht="98.1" customHeight="1" x14ac:dyDescent="0.2">
      <c r="A460" s="2" t="s">
        <v>1496</v>
      </c>
      <c r="B460" s="3" t="s">
        <v>14</v>
      </c>
      <c r="C460" s="3" t="s">
        <v>14</v>
      </c>
      <c r="D460" s="2" t="s">
        <v>944</v>
      </c>
      <c r="E460" s="3" t="s">
        <v>14</v>
      </c>
      <c r="F460" s="2" t="s">
        <v>754</v>
      </c>
      <c r="G460" s="3" t="s">
        <v>14</v>
      </c>
      <c r="H460" s="2" t="s">
        <v>99</v>
      </c>
      <c r="I460" s="3" t="s">
        <v>14</v>
      </c>
      <c r="J460" s="2" t="s">
        <v>306</v>
      </c>
      <c r="K460" s="4" t="str">
        <f t="shared" si="7"/>
        <v>4Y / 0N</v>
      </c>
      <c r="L460" s="2" t="s">
        <v>19</v>
      </c>
      <c r="M460" s="2"/>
    </row>
    <row r="461" spans="1:13" ht="98.1" customHeight="1" x14ac:dyDescent="0.2">
      <c r="A461" s="2" t="s">
        <v>1497</v>
      </c>
      <c r="B461" s="3" t="s">
        <v>14</v>
      </c>
      <c r="C461" s="3" t="s">
        <v>14</v>
      </c>
      <c r="D461" s="2" t="s">
        <v>944</v>
      </c>
      <c r="E461" s="3" t="s">
        <v>14</v>
      </c>
      <c r="F461" s="2" t="s">
        <v>754</v>
      </c>
      <c r="G461" s="3" t="s">
        <v>14</v>
      </c>
      <c r="H461" s="2" t="s">
        <v>1220</v>
      </c>
      <c r="I461" s="3" t="s">
        <v>14</v>
      </c>
      <c r="J461" s="2" t="s">
        <v>306</v>
      </c>
      <c r="K461" s="4" t="str">
        <f t="shared" si="7"/>
        <v>4Y / 0N</v>
      </c>
      <c r="L461" s="2" t="s">
        <v>19</v>
      </c>
      <c r="M461" s="2"/>
    </row>
    <row r="462" spans="1:13" ht="98.1" customHeight="1" x14ac:dyDescent="0.2">
      <c r="A462" s="2" t="s">
        <v>1498</v>
      </c>
      <c r="B462" s="3" t="s">
        <v>24</v>
      </c>
      <c r="C462" s="3" t="s">
        <v>24</v>
      </c>
      <c r="D462" s="2" t="s">
        <v>1499</v>
      </c>
      <c r="E462" s="3" t="s">
        <v>24</v>
      </c>
      <c r="F462" s="2" t="s">
        <v>1500</v>
      </c>
      <c r="G462" s="3" t="s">
        <v>24</v>
      </c>
      <c r="H462" s="2" t="s">
        <v>126</v>
      </c>
      <c r="I462" s="3" t="s">
        <v>24</v>
      </c>
      <c r="J462" s="2" t="s">
        <v>1501</v>
      </c>
      <c r="K462" s="4" t="str">
        <f t="shared" si="7"/>
        <v>0Y / 4N</v>
      </c>
      <c r="L462" s="2" t="s">
        <v>19</v>
      </c>
      <c r="M462" s="2"/>
    </row>
    <row r="463" spans="1:13" ht="98.1" customHeight="1" x14ac:dyDescent="0.2">
      <c r="A463" s="2" t="s">
        <v>1502</v>
      </c>
      <c r="B463" s="3" t="s">
        <v>14</v>
      </c>
      <c r="C463" s="3" t="s">
        <v>14</v>
      </c>
      <c r="D463" s="2" t="s">
        <v>944</v>
      </c>
      <c r="E463" s="3" t="s">
        <v>14</v>
      </c>
      <c r="F463" s="2" t="s">
        <v>754</v>
      </c>
      <c r="G463" s="3" t="s">
        <v>14</v>
      </c>
      <c r="H463" s="2" t="s">
        <v>1503</v>
      </c>
      <c r="I463" s="3" t="s">
        <v>14</v>
      </c>
      <c r="J463" s="2" t="s">
        <v>1504</v>
      </c>
      <c r="K463" s="4" t="str">
        <f t="shared" si="7"/>
        <v>4Y / 0N</v>
      </c>
      <c r="L463" s="2" t="s">
        <v>19</v>
      </c>
      <c r="M463" s="2"/>
    </row>
    <row r="464" spans="1:13" ht="98.1" customHeight="1" x14ac:dyDescent="0.2">
      <c r="A464" s="2" t="s">
        <v>1505</v>
      </c>
      <c r="B464" s="3" t="s">
        <v>14</v>
      </c>
      <c r="C464" s="3" t="s">
        <v>14</v>
      </c>
      <c r="D464" s="2" t="s">
        <v>944</v>
      </c>
      <c r="E464" s="3" t="s">
        <v>14</v>
      </c>
      <c r="F464" s="2" t="s">
        <v>754</v>
      </c>
      <c r="G464" s="3" t="s">
        <v>14</v>
      </c>
      <c r="H464" s="2" t="s">
        <v>1506</v>
      </c>
      <c r="I464" s="3" t="s">
        <v>14</v>
      </c>
      <c r="J464" s="2" t="s">
        <v>306</v>
      </c>
      <c r="K464" s="4" t="str">
        <f t="shared" si="7"/>
        <v>4Y / 0N</v>
      </c>
      <c r="L464" s="2" t="s">
        <v>19</v>
      </c>
      <c r="M464" s="2"/>
    </row>
    <row r="465" spans="1:13" ht="98.1" customHeight="1" x14ac:dyDescent="0.2">
      <c r="A465" s="2" t="s">
        <v>1507</v>
      </c>
      <c r="B465" s="3" t="s">
        <v>14</v>
      </c>
      <c r="C465" s="3" t="s">
        <v>14</v>
      </c>
      <c r="D465" s="2" t="s">
        <v>944</v>
      </c>
      <c r="E465" s="3" t="s">
        <v>14</v>
      </c>
      <c r="F465" s="2" t="s">
        <v>754</v>
      </c>
      <c r="G465" s="3" t="s">
        <v>14</v>
      </c>
      <c r="H465" s="2" t="s">
        <v>799</v>
      </c>
      <c r="I465" s="3" t="s">
        <v>14</v>
      </c>
      <c r="J465" s="2" t="s">
        <v>306</v>
      </c>
      <c r="K465" s="4" t="str">
        <f t="shared" si="7"/>
        <v>4Y / 0N</v>
      </c>
      <c r="L465" s="2" t="s">
        <v>19</v>
      </c>
      <c r="M465" s="2"/>
    </row>
    <row r="466" spans="1:13" ht="98.1" customHeight="1" x14ac:dyDescent="0.2">
      <c r="A466" s="2" t="s">
        <v>1508</v>
      </c>
      <c r="B466" s="3" t="s">
        <v>14</v>
      </c>
      <c r="C466" s="3" t="s">
        <v>14</v>
      </c>
      <c r="D466" s="2" t="s">
        <v>944</v>
      </c>
      <c r="E466" s="3" t="s">
        <v>14</v>
      </c>
      <c r="F466" s="2" t="s">
        <v>754</v>
      </c>
      <c r="G466" s="3" t="s">
        <v>14</v>
      </c>
      <c r="H466" s="2" t="s">
        <v>1509</v>
      </c>
      <c r="I466" s="3" t="s">
        <v>14</v>
      </c>
      <c r="J466" s="2" t="s">
        <v>1315</v>
      </c>
      <c r="K466" s="4" t="str">
        <f t="shared" si="7"/>
        <v>4Y / 0N</v>
      </c>
      <c r="L466" s="2" t="s">
        <v>19</v>
      </c>
      <c r="M466" s="2"/>
    </row>
    <row r="467" spans="1:13" ht="98.1" customHeight="1" x14ac:dyDescent="0.2">
      <c r="A467" s="2" t="s">
        <v>1510</v>
      </c>
      <c r="B467" s="3" t="s">
        <v>24</v>
      </c>
      <c r="C467" s="3" t="s">
        <v>14</v>
      </c>
      <c r="D467" s="2" t="s">
        <v>601</v>
      </c>
      <c r="E467" s="3" t="s">
        <v>24</v>
      </c>
      <c r="F467" s="2" t="s">
        <v>1511</v>
      </c>
      <c r="G467" s="3" t="s">
        <v>24</v>
      </c>
      <c r="H467" s="2" t="s">
        <v>1512</v>
      </c>
      <c r="I467" s="3" t="s">
        <v>14</v>
      </c>
      <c r="J467" s="2" t="s">
        <v>422</v>
      </c>
      <c r="K467" s="4" t="str">
        <f t="shared" si="7"/>
        <v>2Y / 2N</v>
      </c>
      <c r="L467" s="2" t="s">
        <v>38</v>
      </c>
      <c r="M467" s="2" t="s">
        <v>601</v>
      </c>
    </row>
    <row r="468" spans="1:13" ht="98.1" customHeight="1" x14ac:dyDescent="0.2">
      <c r="A468" s="2" t="s">
        <v>1513</v>
      </c>
      <c r="B468" s="3" t="s">
        <v>24</v>
      </c>
      <c r="C468" s="3" t="s">
        <v>24</v>
      </c>
      <c r="D468" s="2" t="s">
        <v>1514</v>
      </c>
      <c r="E468" s="3" t="s">
        <v>24</v>
      </c>
      <c r="F468" s="2" t="s">
        <v>1515</v>
      </c>
      <c r="G468" s="3" t="s">
        <v>14</v>
      </c>
      <c r="H468" s="2" t="s">
        <v>1516</v>
      </c>
      <c r="I468" s="3" t="s">
        <v>24</v>
      </c>
      <c r="J468" s="2" t="s">
        <v>1517</v>
      </c>
      <c r="K468" s="4" t="str">
        <f t="shared" si="7"/>
        <v>1Y / 3N</v>
      </c>
      <c r="L468" s="2" t="s">
        <v>26</v>
      </c>
      <c r="M468" s="2" t="s">
        <v>120</v>
      </c>
    </row>
    <row r="469" spans="1:13" ht="98.1" customHeight="1" x14ac:dyDescent="0.2">
      <c r="A469" s="2" t="s">
        <v>1518</v>
      </c>
      <c r="B469" s="3" t="s">
        <v>14</v>
      </c>
      <c r="C469" s="3" t="s">
        <v>14</v>
      </c>
      <c r="D469" s="2" t="s">
        <v>944</v>
      </c>
      <c r="E469" s="3" t="s">
        <v>14</v>
      </c>
      <c r="F469" s="2" t="s">
        <v>754</v>
      </c>
      <c r="G469" s="3" t="s">
        <v>14</v>
      </c>
      <c r="H469" s="2" t="s">
        <v>427</v>
      </c>
      <c r="I469" s="3" t="s">
        <v>14</v>
      </c>
      <c r="J469" s="2" t="s">
        <v>306</v>
      </c>
      <c r="K469" s="4" t="str">
        <f t="shared" si="7"/>
        <v>4Y / 0N</v>
      </c>
      <c r="L469" s="2" t="s">
        <v>19</v>
      </c>
      <c r="M469" s="2"/>
    </row>
    <row r="470" spans="1:13" ht="98.1" customHeight="1" x14ac:dyDescent="0.2">
      <c r="A470" s="2" t="s">
        <v>1519</v>
      </c>
      <c r="B470" s="3" t="s">
        <v>24</v>
      </c>
      <c r="C470" s="3" t="s">
        <v>24</v>
      </c>
      <c r="D470" s="2" t="s">
        <v>1520</v>
      </c>
      <c r="E470" s="3" t="s">
        <v>14</v>
      </c>
      <c r="F470" s="2" t="s">
        <v>57</v>
      </c>
      <c r="G470" s="3" t="s">
        <v>24</v>
      </c>
      <c r="H470" s="2" t="s">
        <v>523</v>
      </c>
      <c r="I470" s="3" t="s">
        <v>24</v>
      </c>
      <c r="J470" s="2" t="s">
        <v>1521</v>
      </c>
      <c r="K470" s="4" t="str">
        <f t="shared" si="7"/>
        <v>1Y / 3N</v>
      </c>
      <c r="L470" s="2" t="s">
        <v>38</v>
      </c>
      <c r="M470" s="2" t="s">
        <v>665</v>
      </c>
    </row>
    <row r="471" spans="1:13" ht="98.1" customHeight="1" x14ac:dyDescent="0.2">
      <c r="A471" s="2" t="s">
        <v>1522</v>
      </c>
      <c r="B471" s="3" t="s">
        <v>24</v>
      </c>
      <c r="C471" s="3" t="s">
        <v>24</v>
      </c>
      <c r="D471" s="2" t="s">
        <v>1523</v>
      </c>
      <c r="E471" s="3" t="s">
        <v>24</v>
      </c>
      <c r="F471" s="2" t="s">
        <v>1524</v>
      </c>
      <c r="G471" s="3" t="s">
        <v>14</v>
      </c>
      <c r="H471" s="2" t="s">
        <v>1525</v>
      </c>
      <c r="I471" s="3" t="s">
        <v>24</v>
      </c>
      <c r="J471" s="2" t="s">
        <v>1526</v>
      </c>
      <c r="K471" s="4" t="str">
        <f t="shared" si="7"/>
        <v>1Y / 3N</v>
      </c>
      <c r="L471" s="2" t="s">
        <v>26</v>
      </c>
      <c r="M471" s="2" t="s">
        <v>120</v>
      </c>
    </row>
    <row r="472" spans="1:13" ht="98.1" customHeight="1" x14ac:dyDescent="0.2">
      <c r="A472" s="2" t="s">
        <v>1527</v>
      </c>
      <c r="B472" s="3" t="s">
        <v>24</v>
      </c>
      <c r="C472" s="3" t="s">
        <v>24</v>
      </c>
      <c r="D472" s="2" t="s">
        <v>1528</v>
      </c>
      <c r="E472" s="3" t="s">
        <v>24</v>
      </c>
      <c r="F472" s="2" t="s">
        <v>377</v>
      </c>
      <c r="G472" s="3" t="s">
        <v>24</v>
      </c>
      <c r="H472" s="2" t="s">
        <v>85</v>
      </c>
      <c r="I472" s="3" t="s">
        <v>24</v>
      </c>
      <c r="J472" s="2" t="s">
        <v>1529</v>
      </c>
      <c r="K472" s="4" t="str">
        <f t="shared" si="7"/>
        <v>0Y / 4N</v>
      </c>
      <c r="L472" s="2" t="s">
        <v>19</v>
      </c>
      <c r="M472" s="2"/>
    </row>
    <row r="473" spans="1:13" ht="98.1" customHeight="1" x14ac:dyDescent="0.2">
      <c r="A473" s="2" t="s">
        <v>1530</v>
      </c>
      <c r="B473" s="3" t="s">
        <v>14</v>
      </c>
      <c r="C473" s="3" t="s">
        <v>14</v>
      </c>
      <c r="D473" s="2" t="s">
        <v>944</v>
      </c>
      <c r="E473" s="3" t="s">
        <v>14</v>
      </c>
      <c r="F473" s="2" t="s">
        <v>754</v>
      </c>
      <c r="G473" s="3" t="s">
        <v>14</v>
      </c>
      <c r="H473" s="2" t="s">
        <v>1531</v>
      </c>
      <c r="I473" s="3" t="s">
        <v>14</v>
      </c>
      <c r="J473" s="2" t="s">
        <v>871</v>
      </c>
      <c r="K473" s="4" t="str">
        <f t="shared" si="7"/>
        <v>4Y / 0N</v>
      </c>
      <c r="L473" s="2" t="s">
        <v>19</v>
      </c>
      <c r="M473" s="2"/>
    </row>
    <row r="474" spans="1:13" ht="98.1" customHeight="1" x14ac:dyDescent="0.2">
      <c r="A474" s="2" t="s">
        <v>1532</v>
      </c>
      <c r="B474" s="3" t="s">
        <v>14</v>
      </c>
      <c r="C474" s="3" t="s">
        <v>14</v>
      </c>
      <c r="D474" s="2" t="s">
        <v>944</v>
      </c>
      <c r="E474" s="3" t="s">
        <v>14</v>
      </c>
      <c r="F474" s="2" t="s">
        <v>754</v>
      </c>
      <c r="G474" s="3" t="s">
        <v>14</v>
      </c>
      <c r="H474" s="2" t="s">
        <v>1273</v>
      </c>
      <c r="I474" s="3" t="s">
        <v>14</v>
      </c>
      <c r="J474" s="2" t="s">
        <v>1192</v>
      </c>
      <c r="K474" s="4" t="str">
        <f t="shared" si="7"/>
        <v>4Y / 0N</v>
      </c>
      <c r="L474" s="2" t="s">
        <v>19</v>
      </c>
      <c r="M474" s="2"/>
    </row>
    <row r="475" spans="1:13" ht="98.1" customHeight="1" x14ac:dyDescent="0.2">
      <c r="A475" s="2" t="s">
        <v>1533</v>
      </c>
      <c r="B475" s="3" t="s">
        <v>14</v>
      </c>
      <c r="C475" s="3" t="s">
        <v>14</v>
      </c>
      <c r="D475" s="2" t="s">
        <v>944</v>
      </c>
      <c r="E475" s="3" t="s">
        <v>14</v>
      </c>
      <c r="F475" s="2" t="s">
        <v>754</v>
      </c>
      <c r="G475" s="3" t="s">
        <v>14</v>
      </c>
      <c r="H475" s="2" t="s">
        <v>947</v>
      </c>
      <c r="I475" s="3" t="s">
        <v>14</v>
      </c>
      <c r="J475" s="2" t="s">
        <v>1534</v>
      </c>
      <c r="K475" s="4" t="str">
        <f t="shared" si="7"/>
        <v>4Y / 0N</v>
      </c>
      <c r="L475" s="2" t="s">
        <v>19</v>
      </c>
      <c r="M475" s="2"/>
    </row>
    <row r="476" spans="1:13" ht="98.1" customHeight="1" x14ac:dyDescent="0.2">
      <c r="A476" s="2" t="s">
        <v>1535</v>
      </c>
      <c r="B476" s="3" t="s">
        <v>14</v>
      </c>
      <c r="C476" s="3" t="s">
        <v>24</v>
      </c>
      <c r="D476" s="2" t="s">
        <v>1536</v>
      </c>
      <c r="E476" s="3" t="s">
        <v>24</v>
      </c>
      <c r="F476" s="2" t="s">
        <v>1537</v>
      </c>
      <c r="G476" s="3" t="s">
        <v>14</v>
      </c>
      <c r="H476" s="2" t="s">
        <v>670</v>
      </c>
      <c r="I476" s="3" t="s">
        <v>14</v>
      </c>
      <c r="J476" s="2" t="s">
        <v>1538</v>
      </c>
      <c r="K476" s="4" t="str">
        <f t="shared" si="7"/>
        <v>2Y / 2N</v>
      </c>
      <c r="L476" s="2" t="s">
        <v>38</v>
      </c>
      <c r="M476" s="2" t="s">
        <v>110</v>
      </c>
    </row>
    <row r="477" spans="1:13" ht="98.1" customHeight="1" x14ac:dyDescent="0.2">
      <c r="A477" s="2" t="s">
        <v>1539</v>
      </c>
      <c r="B477" s="3" t="s">
        <v>24</v>
      </c>
      <c r="C477" s="3" t="s">
        <v>24</v>
      </c>
      <c r="D477" s="2" t="s">
        <v>1481</v>
      </c>
      <c r="E477" s="3" t="s">
        <v>14</v>
      </c>
      <c r="F477" s="2" t="s">
        <v>754</v>
      </c>
      <c r="G477" s="3" t="s">
        <v>14</v>
      </c>
      <c r="H477" s="2" t="s">
        <v>1540</v>
      </c>
      <c r="I477" s="3" t="s">
        <v>14</v>
      </c>
      <c r="J477" s="2" t="s">
        <v>457</v>
      </c>
      <c r="K477" s="4" t="str">
        <f t="shared" si="7"/>
        <v>3Y / 1N</v>
      </c>
      <c r="L477" s="2" t="s">
        <v>38</v>
      </c>
      <c r="M477" s="2" t="s">
        <v>39</v>
      </c>
    </row>
    <row r="478" spans="1:13" ht="98.1" customHeight="1" x14ac:dyDescent="0.2">
      <c r="A478" s="2" t="s">
        <v>1541</v>
      </c>
      <c r="B478" s="3" t="s">
        <v>14</v>
      </c>
      <c r="C478" s="3" t="s">
        <v>14</v>
      </c>
      <c r="D478" s="2" t="s">
        <v>944</v>
      </c>
      <c r="E478" s="3" t="s">
        <v>14</v>
      </c>
      <c r="F478" s="2" t="s">
        <v>754</v>
      </c>
      <c r="G478" s="3" t="s">
        <v>14</v>
      </c>
      <c r="H478" s="2" t="s">
        <v>92</v>
      </c>
      <c r="I478" s="3" t="s">
        <v>14</v>
      </c>
      <c r="J478" s="2" t="s">
        <v>306</v>
      </c>
      <c r="K478" s="4" t="str">
        <f t="shared" si="7"/>
        <v>4Y / 0N</v>
      </c>
      <c r="L478" s="2" t="s">
        <v>19</v>
      </c>
      <c r="M478" s="2"/>
    </row>
    <row r="479" spans="1:13" ht="98.1" customHeight="1" x14ac:dyDescent="0.2">
      <c r="A479" s="2" t="s">
        <v>1542</v>
      </c>
      <c r="B479" s="3" t="s">
        <v>14</v>
      </c>
      <c r="C479" s="3" t="s">
        <v>14</v>
      </c>
      <c r="D479" s="2" t="s">
        <v>944</v>
      </c>
      <c r="E479" s="3" t="s">
        <v>14</v>
      </c>
      <c r="F479" s="2" t="s">
        <v>754</v>
      </c>
      <c r="G479" s="3" t="s">
        <v>14</v>
      </c>
      <c r="H479" s="2" t="s">
        <v>1543</v>
      </c>
      <c r="I479" s="3" t="s">
        <v>14</v>
      </c>
      <c r="J479" s="2" t="s">
        <v>1544</v>
      </c>
      <c r="K479" s="4" t="str">
        <f t="shared" si="7"/>
        <v>4Y / 0N</v>
      </c>
      <c r="L479" s="2" t="s">
        <v>19</v>
      </c>
      <c r="M479" s="2"/>
    </row>
  </sheetData>
  <conditionalFormatting sqref="A2:A479">
    <cfRule type="expression" dxfId="38" priority="19">
      <formula>MOD(ROW(),2)=1</formula>
    </cfRule>
  </conditionalFormatting>
  <conditionalFormatting sqref="B2:B479">
    <cfRule type="expression" dxfId="37" priority="2">
      <formula>B2="Y"</formula>
    </cfRule>
    <cfRule type="expression" dxfId="36" priority="3">
      <formula>B2="N"</formula>
    </cfRule>
    <cfRule type="expression" dxfId="35" priority="4">
      <formula>B2="Y/N"</formula>
    </cfRule>
    <cfRule type="expression" dxfId="34" priority="26">
      <formula>B2="Y"</formula>
    </cfRule>
    <cfRule type="expression" dxfId="33" priority="27">
      <formula>B2="N"</formula>
    </cfRule>
    <cfRule type="expression" dxfId="32" priority="28">
      <formula>B2="Y/N"</formula>
    </cfRule>
  </conditionalFormatting>
  <conditionalFormatting sqref="C2:C479">
    <cfRule type="expression" dxfId="31" priority="5">
      <formula>C2="Y"</formula>
    </cfRule>
    <cfRule type="expression" dxfId="30" priority="6">
      <formula>C2="N"</formula>
    </cfRule>
    <cfRule type="expression" dxfId="29" priority="7">
      <formula>C2="Y/N"</formula>
    </cfRule>
    <cfRule type="expression" dxfId="28" priority="29">
      <formula>C2="Y"</formula>
    </cfRule>
    <cfRule type="expression" dxfId="27" priority="30">
      <formula>C2="N"</formula>
    </cfRule>
    <cfRule type="expression" dxfId="26" priority="31">
      <formula>C2="Y/N"</formula>
    </cfRule>
  </conditionalFormatting>
  <conditionalFormatting sqref="D2:D479">
    <cfRule type="expression" dxfId="25" priority="20">
      <formula>MOD(ROW(),2)=1</formula>
    </cfRule>
  </conditionalFormatting>
  <conditionalFormatting sqref="E2:E479">
    <cfRule type="expression" dxfId="24" priority="8">
      <formula>E2="Y"</formula>
    </cfRule>
    <cfRule type="expression" dxfId="23" priority="9">
      <formula>E2="N"</formula>
    </cfRule>
    <cfRule type="expression" dxfId="22" priority="10">
      <formula>E2="Y/N"</formula>
    </cfRule>
    <cfRule type="expression" dxfId="21" priority="32">
      <formula>E2="Y"</formula>
    </cfRule>
    <cfRule type="expression" dxfId="20" priority="33">
      <formula>E2="N"</formula>
    </cfRule>
    <cfRule type="expression" dxfId="19" priority="34">
      <formula>E2="Y/N"</formula>
    </cfRule>
  </conditionalFormatting>
  <conditionalFormatting sqref="F2:F479">
    <cfRule type="expression" dxfId="18" priority="21">
      <formula>MOD(ROW(),2)=1</formula>
    </cfRule>
  </conditionalFormatting>
  <conditionalFormatting sqref="G2:G479">
    <cfRule type="expression" dxfId="17" priority="11">
      <formula>G2="Y"</formula>
    </cfRule>
    <cfRule type="expression" dxfId="16" priority="12">
      <formula>G2="N"</formula>
    </cfRule>
    <cfRule type="expression" dxfId="15" priority="13">
      <formula>G2="Y/N"</formula>
    </cfRule>
    <cfRule type="expression" dxfId="14" priority="35">
      <formula>G2="Y"</formula>
    </cfRule>
    <cfRule type="expression" dxfId="13" priority="36">
      <formula>G2="N"</formula>
    </cfRule>
    <cfRule type="expression" dxfId="12" priority="37">
      <formula>G2="Y/N"</formula>
    </cfRule>
  </conditionalFormatting>
  <conditionalFormatting sqref="H2:H479">
    <cfRule type="expression" dxfId="11" priority="22">
      <formula>MOD(ROW(),2)=1</formula>
    </cfRule>
  </conditionalFormatting>
  <conditionalFormatting sqref="I2:I479">
    <cfRule type="expression" dxfId="10" priority="14">
      <formula>I2="Y"</formula>
    </cfRule>
    <cfRule type="expression" dxfId="9" priority="15">
      <formula>I2="N"</formula>
    </cfRule>
    <cfRule type="expression" dxfId="8" priority="16">
      <formula>I2="Y/N"</formula>
    </cfRule>
    <cfRule type="expression" dxfId="7" priority="38">
      <formula>I2="Y"</formula>
    </cfRule>
    <cfRule type="expression" dxfId="6" priority="39">
      <formula>I2="N"</formula>
    </cfRule>
    <cfRule type="expression" dxfId="5" priority="40">
      <formula>I2="Y/N"</formula>
    </cfRule>
  </conditionalFormatting>
  <conditionalFormatting sqref="J2:J479">
    <cfRule type="expression" dxfId="4" priority="23">
      <formula>MOD(ROW(),2)=1</formula>
    </cfRule>
  </conditionalFormatting>
  <conditionalFormatting sqref="K2:K479">
    <cfRule type="expression" dxfId="3" priority="17">
      <formula>AND(C2=E2,E2=G2,G2=I2)</formula>
    </cfRule>
    <cfRule type="expression" dxfId="2" priority="18">
      <formula>NOT(AND(C2=E2,E2=G2,G2=I2))</formula>
    </cfRule>
  </conditionalFormatting>
  <conditionalFormatting sqref="L2:L479">
    <cfRule type="expression" dxfId="1" priority="24">
      <formula>MOD(ROW(),2)=1</formula>
    </cfRule>
  </conditionalFormatting>
  <conditionalFormatting sqref="M2:M479">
    <cfRule type="expression" dxfId="0" priority="25">
      <formula>MOD(ROW(),2)=1</formula>
    </cfRule>
  </conditionalFormatting>
  <dataValidations count="2">
    <dataValidation type="list" sqref="B2:B479" xr:uid="{00000000-0002-0000-0000-000000000000}">
      <formula1>"Y,N"</formula1>
    </dataValidation>
    <dataValidation type="list" sqref="C2:C479 I2:I479 G2:G479 E2:E479" xr:uid="{00000000-0002-0000-0000-000001000000}">
      <formula1>"Y,N,Y/N"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Ground truth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Zach Zheng</dc:creator>
  <cp:lastModifiedBy>Zheng, Zach</cp:lastModifiedBy>
  <dcterms:created xsi:type="dcterms:W3CDTF">2026-09-16T19:51:08Z</dcterms:created>
  <dcterms:modified xsi:type="dcterms:W3CDTF">2026-09-16T19:58:06Z</dcterms:modified>
</cp:coreProperties>
</file>